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atil\Desktop\Excel Project\Hospital ER Dashboard\"/>
    </mc:Choice>
  </mc:AlternateContent>
  <xr:revisionPtr revIDLastSave="0" documentId="13_ncr:1_{2386C5FF-46F3-4118-A85A-0628FD43D2FF}" xr6:coauthVersionLast="47" xr6:coauthVersionMax="47" xr10:uidLastSave="{00000000-0000-0000-0000-000000000000}"/>
  <bookViews>
    <workbookView xWindow="-108" yWindow="-108" windowWidth="23256" windowHeight="12456" activeTab="1" xr2:uid="{8BA6B105-EC1C-4C0E-BFE3-BE716B3FB463}"/>
  </bookViews>
  <sheets>
    <sheet name="Pivot Report" sheetId="1" r:id="rId1"/>
    <sheet name="Dashboard" sheetId="3" r:id="rId2"/>
    <sheet name="Detailed Explanation Of ER" sheetId="7"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da517cd-2424-425b-8519-ef4c2158cff0" name="Hospital Emergency Room Data" connection="Query - Hospital Emergency Room Data"/>
          <x15:modelTable id="Calender_Table_9303553e-8d0b-429c-8962-a5bf69b4ef8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B51" i="1"/>
  <c r="C51" i="1"/>
  <c r="A51"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15F1A-D6A7-496D-AC07-99C2B874D031}" name="Query - Calender_Table" description="Connection to the 'Calender_Table' query in the workbook." type="100" refreshedVersion="8" minRefreshableVersion="5">
    <extLst>
      <ext xmlns:x15="http://schemas.microsoft.com/office/spreadsheetml/2010/11/main" uri="{DE250136-89BD-433C-8126-D09CA5730AF9}">
        <x15:connection id="21f36b44-4e44-4623-9788-af541fca6565"/>
      </ext>
    </extLst>
  </connection>
  <connection id="2" xr16:uid="{4B5BB6C1-1F8F-4099-86CC-DF3EC129641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2459db8-a4fc-4698-90ce-cebb35322198"/>
      </ext>
    </extLst>
  </connection>
  <connection id="3" xr16:uid="{05305511-A4EE-4466-880E-A2D995438F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<sst xmlns="http://schemas.openxmlformats.org/spreadsheetml/2006/main" count="148" uniqueCount="69">
  <si>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Distinct Count of Patient Id</t>
  </si>
  <si>
    <t>No.Of Patient</t>
  </si>
  <si>
    <t>Average of Patient Waittime</t>
  </si>
  <si>
    <t>Average of Patient Satisfaction Score</t>
  </si>
  <si>
    <t xml:space="preserve"> </t>
  </si>
  <si>
    <t>Grand Total</t>
  </si>
  <si>
    <t>Row Labels</t>
  </si>
  <si>
    <t>Addmitted</t>
  </si>
  <si>
    <t>20-29</t>
  </si>
  <si>
    <t>30-39</t>
  </si>
  <si>
    <t>Not Addmitted</t>
  </si>
  <si>
    <t>10-19</t>
  </si>
  <si>
    <t>40-49</t>
  </si>
  <si>
    <t>0-9</t>
  </si>
  <si>
    <t>70-79</t>
  </si>
  <si>
    <t>60-69</t>
  </si>
  <si>
    <t>50-59</t>
  </si>
  <si>
    <t>Count of Patient Admission Flag</t>
  </si>
  <si>
    <t>Count of Patient Admission Flag2</t>
  </si>
  <si>
    <t>Addmission Status</t>
  </si>
  <si>
    <t>% Status</t>
  </si>
  <si>
    <t xml:space="preserve"> No. Of Patient</t>
  </si>
  <si>
    <t>Count of Age Group</t>
  </si>
  <si>
    <t>Male</t>
  </si>
  <si>
    <t>None</t>
  </si>
  <si>
    <t>OnTime</t>
  </si>
  <si>
    <t>Delay</t>
  </si>
  <si>
    <t>Female</t>
  </si>
  <si>
    <t>General Practice</t>
  </si>
  <si>
    <t>Orthopedics</t>
  </si>
  <si>
    <t>Physiotherapy</t>
  </si>
  <si>
    <t>Cardiology</t>
  </si>
  <si>
    <t>Neurology</t>
  </si>
  <si>
    <t>Gastroenterology</t>
  </si>
  <si>
    <t>Renal</t>
  </si>
  <si>
    <t>Count of Patient Attend Status</t>
  </si>
  <si>
    <t>Count of Patient Gender</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</si>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</sst>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5" x14ac:knownFonts="1">
    <font>
      <sz val="11"/>
      <color theme="1"/>
      <name val="Calibri"/>
      <family val="2"/>
      <scheme val="minor"/>
    </font>
    <font>
      <sz val="8"/>
      <name val="Calibri"/>
      <family val="2"/>
      <scheme val="minor"/>
    </font>
    <font>
      <b/>
      <sz val="11"/>
      <color theme="0"/>
      <name val="Calibri"/>
      <family val="2"/>
      <scheme val="minor"/>
    </font>
    <font>
      <sz val="10"/>
      <color theme="1"/>
      <name val="Calibri"/>
      <family val="2"/>
      <scheme val="minor"/>
    </font>
    <font>
      <sz val="10"/>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3" fillId="2" borderId="0" xfId="0" applyFont="1" applyFill="1" applyAlignment="1">
      <alignment horizontal="center"/>
    </xf>
    <xf numFmtId="0" fontId="0" fillId="2" borderId="0" xfId="0" applyFill="1" applyAlignment="1">
      <alignment horizontal="center"/>
    </xf>
    <xf numFmtId="9" fontId="0" fillId="2" borderId="0" xfId="0" applyNumberFormat="1" applyFill="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0" fillId="2" borderId="0" xfId="0" applyFill="1"/>
    <xf numFmtId="0" fontId="0" fillId="4" borderId="0" xfId="0" applyFill="1"/>
    <xf numFmtId="43" fontId="0" fillId="0" borderId="0" xfId="0" applyNumberFormat="1"/>
  </cellXfs>
  <cellStyles count="1">
    <cellStyle name="Normal" xfId="0" builtinId="0"/>
  </cellStyles>
  <dxfs count="28">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2" formatCode="0.00"/>
    </dxf>
    <dxf>
      <numFmt numFmtId="2" formatCode="0.00"/>
    </dxf>
    <dxf>
      <numFmt numFmtId="35" formatCode="_ * #,##0.00_ ;_ * \-#,##0.00_ ;_ * &quot;-&quot;??_ ;_ @_ "/>
    </dxf>
    <dxf>
      <numFmt numFmtId="13" formatCode="0%"/>
    </dxf>
    <dxf>
      <font>
        <sz val="9"/>
      </font>
      <fill>
        <patternFill patternType="solid">
          <fgColor theme="2" tint="-0.749961851863155"/>
          <bgColor theme="2" tint="-0.749961851863155"/>
        </patternFill>
      </fill>
    </dxf>
    <dxf>
      <font>
        <b/>
        <color theme="1"/>
      </font>
      <border>
        <bottom style="thin">
          <color theme="7"/>
        </bottom>
        <vertical/>
        <horizontal/>
      </border>
    </dxf>
    <dxf>
      <font>
        <b val="0"/>
        <i val="0"/>
        <sz val="8"/>
        <color theme="1"/>
      </font>
      <fill>
        <patternFill>
          <bgColor theme="0" tint="-0.14996795556505021"/>
        </patternFill>
      </fill>
      <border diagonalUp="0" diagonalDown="0">
        <left/>
        <right/>
        <top/>
        <bottom/>
        <vertical/>
        <horizontal/>
      </border>
    </dxf>
    <dxf>
      <font>
        <b/>
        <color theme="1"/>
      </font>
      <border>
        <bottom style="thin">
          <color theme="7"/>
        </bottom>
        <vertical/>
        <horizontal/>
      </border>
    </dxf>
    <dxf>
      <font>
        <b val="0"/>
        <i val="0"/>
        <sz val="8"/>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sz val="8"/>
        <color theme="1"/>
      </font>
      <fill>
        <patternFill patternType="solid">
          <bgColor theme="0" tint="-0.14996795556505021"/>
        </patternFill>
      </fill>
      <border diagonalUp="0" diagonalDown="0">
        <left/>
        <right/>
        <top/>
        <bottom/>
        <vertical/>
        <horizontal/>
      </border>
    </dxf>
  </dxfs>
  <tableStyles count="4" defaultTableStyle="TableStyleMedium2" defaultPivotStyle="PivotStyleLight16">
    <tableStyle name="Dark" pivot="0" table="0" count="10" xr9:uid="{1917515E-353B-4036-8790-67E5D1628A9E}">
      <tableStyleElement type="wholeTable" dxfId="27"/>
      <tableStyleElement type="headerRow" dxfId="26"/>
    </tableStyle>
    <tableStyle name="My Style" pivot="0" table="0" count="10" xr9:uid="{0030150A-9423-4ABD-AFA6-13405C5D1447}">
      <tableStyleElement type="wholeTable" dxfId="25"/>
      <tableStyleElement type="headerRow" dxfId="24"/>
    </tableStyle>
    <tableStyle name="My Style 2" pivot="0" table="0" count="10" xr9:uid="{DA78135B-8F87-40CF-A1C7-1231CD15CAD9}">
      <tableStyleElement type="wholeTable" dxfId="23"/>
      <tableStyleElement type="headerRow" dxfId="22"/>
    </tableStyle>
    <tableStyle name="Slicer Style 3" pivot="0" table="0" count="1" xr9:uid="{259855D1-E62E-4DA2-A64E-A2AB7B8751C5}">
      <tableStyleElement type="wholeTable" dxfId="2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4.4387642759862921E-2"/>
              <c:y val="0"/>
            </c:manualLayout>
          </c:layout>
          <c:tx>
            <c:rich>
              <a:bodyPr wrap="square" lIns="38100" tIns="19050" rIns="38100" bIns="19050" anchor="ctr">
                <a:spAutoFit/>
              </a:bodyPr>
              <a:lstStyle/>
              <a:p>
                <a:pPr>
                  <a:defRPr sz="800" b="1">
                    <a:solidFill>
                      <a:schemeClr val="tx1">
                        <a:lumMod val="65000"/>
                        <a:lumOff val="35000"/>
                      </a:schemeClr>
                    </a:solidFill>
                  </a:defRPr>
                </a:pPr>
                <a:fld id="{A81FF03F-CDEA-4E03-874B-A3C654094D8F}" type="CELLRANGE">
                  <a:rPr lang="en-US" sz="800">
                    <a:solidFill>
                      <a:schemeClr val="tx1">
                        <a:lumMod val="65000"/>
                        <a:lumOff val="35000"/>
                      </a:schemeClr>
                    </a:solidFill>
                  </a:rPr>
                  <a:pPr>
                    <a:defRPr sz="800" b="1">
                      <a:solidFill>
                        <a:schemeClr val="tx1">
                          <a:lumMod val="65000"/>
                          <a:lumOff val="35000"/>
                        </a:schemeClr>
                      </a:solidFill>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54848330570270531"/>
                  <c:h val="0.35211419131202215"/>
                </c:manualLayout>
              </c15:layout>
              <c15:dlblFieldTable/>
              <c15:showDataLabelsRange val="1"/>
            </c:ext>
          </c:extLst>
        </c:dLbl>
      </c:pivotFmt>
      <c:pivotFmt>
        <c:idx val="3"/>
        <c:dLbl>
          <c:idx val="0"/>
          <c:layout>
            <c:manualLayout>
              <c:x val="-5.1785000704843147E-2"/>
              <c:y val="2.3156817945599342E-2"/>
            </c:manualLayout>
          </c:layout>
          <c:tx>
            <c:rich>
              <a:bodyPr wrap="square" lIns="38100" tIns="19050" rIns="38100" bIns="19050" anchor="ctr">
                <a:spAutoFit/>
              </a:bodyPr>
              <a:lstStyle/>
              <a:p>
                <a:pPr>
                  <a:defRPr sz="700" b="1">
                    <a:solidFill>
                      <a:schemeClr val="tx1">
                        <a:lumMod val="75000"/>
                        <a:lumOff val="25000"/>
                      </a:schemeClr>
                    </a:solidFill>
                  </a:defRPr>
                </a:pPr>
                <a:fld id="{2CEC2010-DB93-41AC-84E6-2D62280A1B3B}" type="CELLRANGE">
                  <a:rPr lang="en-US" sz="700" b="1">
                    <a:solidFill>
                      <a:schemeClr val="tx1">
                        <a:lumMod val="75000"/>
                        <a:lumOff val="25000"/>
                      </a:schemeClr>
                    </a:solidFill>
                  </a:rPr>
                  <a:pPr>
                    <a:defRPr sz="700" b="1">
                      <a:solidFill>
                        <a:schemeClr val="tx1">
                          <a:lumMod val="75000"/>
                          <a:lumOff val="25000"/>
                        </a:schemeClr>
                      </a:solidFill>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53748891765218487"/>
                  <c:h val="0.32386176111798948"/>
                </c:manualLayout>
              </c15:layout>
              <c15:dlblFieldTable/>
              <c15:showDataLabelsRange val="1"/>
            </c:ext>
          </c:extLst>
        </c:dLbl>
      </c:pivotFmt>
    </c:pivotFmts>
    <c:plotArea>
      <c:layout>
        <c:manualLayout>
          <c:layoutTarget val="inner"/>
          <c:xMode val="edge"/>
          <c:yMode val="edge"/>
          <c:x val="5.6968697121411109E-2"/>
          <c:y val="0.18641263038237338"/>
          <c:w val="0.77529013913221179"/>
          <c:h val="0.6271758638404622"/>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7FDE-457F-80D0-266E0B8F04B3}"/>
              </c:ext>
            </c:extLst>
          </c:dPt>
          <c:dLbls>
            <c:dLbl>
              <c:idx val="0"/>
              <c:layout>
                <c:manualLayout>
                  <c:x val="-4.4387642759862921E-2"/>
                  <c:y val="0"/>
                </c:manualLayout>
              </c:layout>
              <c:tx>
                <c:rich>
                  <a:bodyPr wrap="square" lIns="38100" tIns="19050" rIns="38100" bIns="19050" anchor="ctr">
                    <a:spAutoFit/>
                  </a:bodyPr>
                  <a:lstStyle/>
                  <a:p>
                    <a:pPr>
                      <a:defRPr sz="800" b="1">
                        <a:solidFill>
                          <a:schemeClr val="tx1">
                            <a:lumMod val="65000"/>
                            <a:lumOff val="35000"/>
                          </a:schemeClr>
                        </a:solidFill>
                      </a:defRPr>
                    </a:pPr>
                    <a:fld id="{A81FF03F-CDEA-4E03-874B-A3C654094D8F}" type="CELLRANGE">
                      <a:rPr lang="en-US" sz="800">
                        <a:solidFill>
                          <a:schemeClr val="tx1">
                            <a:lumMod val="65000"/>
                            <a:lumOff val="35000"/>
                          </a:schemeClr>
                        </a:solidFill>
                      </a:rPr>
                      <a:pPr>
                        <a:defRPr sz="800" b="1">
                          <a:solidFill>
                            <a:schemeClr val="tx1">
                              <a:lumMod val="65000"/>
                              <a:lumOff val="35000"/>
                            </a:schemeClr>
                          </a:solidFill>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54848330570270531"/>
                      <c:h val="0.35211419131202215"/>
                    </c:manualLayout>
                  </c15:layout>
                  <c15:dlblFieldTable/>
                  <c15:showDataLabelsRange val="1"/>
                </c:ext>
                <c:ext xmlns:c16="http://schemas.microsoft.com/office/drawing/2014/chart" uri="{C3380CC4-5D6E-409C-BE32-E72D297353CC}">
                  <c16:uniqueId val="{00000007-7FDE-457F-80D0-266E0B8F04B3}"/>
                </c:ext>
              </c:extLst>
            </c:dLbl>
            <c:dLbl>
              <c:idx val="1"/>
              <c:layout>
                <c:manualLayout>
                  <c:x val="-5.1785000704843147E-2"/>
                  <c:y val="2.3156817945599342E-2"/>
                </c:manualLayout>
              </c:layout>
              <c:tx>
                <c:rich>
                  <a:bodyPr wrap="square" lIns="38100" tIns="19050" rIns="38100" bIns="19050" anchor="ctr">
                    <a:spAutoFit/>
                  </a:bodyPr>
                  <a:lstStyle/>
                  <a:p>
                    <a:pPr>
                      <a:defRPr sz="700" b="1">
                        <a:solidFill>
                          <a:schemeClr val="tx1">
                            <a:lumMod val="75000"/>
                            <a:lumOff val="25000"/>
                          </a:schemeClr>
                        </a:solidFill>
                      </a:defRPr>
                    </a:pPr>
                    <a:fld id="{2CEC2010-DB93-41AC-84E6-2D62280A1B3B}" type="CELLRANGE">
                      <a:rPr lang="en-US" sz="700" b="1">
                        <a:solidFill>
                          <a:schemeClr val="tx1">
                            <a:lumMod val="75000"/>
                            <a:lumOff val="25000"/>
                          </a:schemeClr>
                        </a:solidFill>
                      </a:rPr>
                      <a:pPr>
                        <a:defRPr sz="700" b="1">
                          <a:solidFill>
                            <a:schemeClr val="tx1">
                              <a:lumMod val="75000"/>
                              <a:lumOff val="25000"/>
                            </a:schemeClr>
                          </a:solidFill>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53748891765218487"/>
                      <c:h val="0.32386176111798948"/>
                    </c:manualLayout>
                  </c15:layout>
                  <c15:dlblFieldTable/>
                  <c15:showDataLabelsRange val="1"/>
                </c:ext>
                <c:ext xmlns:c16="http://schemas.microsoft.com/office/drawing/2014/chart" uri="{C3380CC4-5D6E-409C-BE32-E72D297353CC}">
                  <c16:uniqueId val="{00000008-7FDE-457F-80D0-266E0B8F04B3}"/>
                </c:ext>
              </c:extLst>
            </c:dLbl>
            <c:spPr>
              <a:noFill/>
              <a:ln>
                <a:noFill/>
              </a:ln>
              <a:effectLst/>
            </c:spPr>
            <c:txPr>
              <a:bodyPr wrap="square" lIns="38100" tIns="19050" rIns="38100" bIns="19050" anchor="ctr">
                <a:spAutoFit/>
              </a:bodyPr>
              <a:lstStyle/>
              <a:p>
                <a:pPr>
                  <a:defRPr b="1"/>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Report'!$C$43:$C$44</c:f>
              <c:strCache>
                <c:ptCount val="2"/>
                <c:pt idx="0">
                  <c:v>Addmitted</c:v>
                </c:pt>
                <c:pt idx="1">
                  <c:v>Not Addmitted</c:v>
                </c:pt>
              </c:strCache>
            </c:strRef>
          </c:cat>
          <c:val>
            <c:numRef>
              <c:f>'Pivot Report'!$C$43:$C$44</c:f>
              <c:numCache>
                <c:formatCode>0</c:formatCode>
                <c:ptCount val="2"/>
                <c:pt idx="0">
                  <c:v>252</c:v>
                </c:pt>
                <c:pt idx="1">
                  <c:v>254</c:v>
                </c:pt>
              </c:numCache>
            </c:numRef>
          </c:val>
          <c:extLst>
            <c:ext xmlns:c15="http://schemas.microsoft.com/office/drawing/2012/chart" uri="{02D57815-91ED-43cb-92C2-25804820EDAC}">
              <c15:datalabelsRange>
                <c15:f>'Pivot Report'!$C$43:$C$44</c15:f>
                <c15:dlblRangeCache>
                  <c:ptCount val="2"/>
                  <c:pt idx="0">
                    <c:v>49.80%</c:v>
                  </c:pt>
                  <c:pt idx="1">
                    <c:v>50.20%</c:v>
                  </c:pt>
                </c15:dlblRangeCache>
              </c15:datalabelsRange>
            </c:ext>
            <c:ext xmlns:c16="http://schemas.microsoft.com/office/drawing/2014/chart" uri="{C3380CC4-5D6E-409C-BE32-E72D297353CC}">
              <c16:uniqueId val="{00000005-7FDE-457F-80D0-266E0B8F04B3}"/>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Addmitted</c:v>
                </c:pt>
                <c:pt idx="1">
                  <c:v>Not Addmitted</c:v>
                </c:pt>
              </c:strCache>
            </c:strRef>
          </c:cat>
          <c:val>
            <c:numRef>
              <c:f>'Pivot Report'!$C$43:$C$44</c:f>
              <c:numCache>
                <c:formatCode>0.00%</c:formatCode>
                <c:ptCount val="2"/>
                <c:pt idx="0">
                  <c:v>0.49802371541501977</c:v>
                </c:pt>
                <c:pt idx="1">
                  <c:v>0.50197628458498023</c:v>
                </c:pt>
              </c:numCache>
            </c:numRef>
          </c:val>
          <c:extLst>
            <c:ext xmlns:c16="http://schemas.microsoft.com/office/drawing/2014/chart" uri="{C3380CC4-5D6E-409C-BE32-E72D297353CC}">
              <c16:uniqueId val="{00000006-7FDE-457F-80D0-266E0B8F04B3}"/>
            </c:ext>
          </c:extLst>
        </c:ser>
        <c:dLbls>
          <c:showLegendKey val="0"/>
          <c:showVal val="0"/>
          <c:showCatName val="0"/>
          <c:showSerName val="0"/>
          <c:showPercent val="0"/>
          <c:showBubbleSize val="0"/>
        </c:dLbls>
        <c:gapWidth val="0"/>
        <c:axId val="836544624"/>
        <c:axId val="836540304"/>
      </c:barChart>
      <c:catAx>
        <c:axId val="836544624"/>
        <c:scaling>
          <c:orientation val="minMax"/>
        </c:scaling>
        <c:delete val="1"/>
        <c:axPos val="l"/>
        <c:numFmt formatCode="General" sourceLinked="1"/>
        <c:majorTickMark val="none"/>
        <c:minorTickMark val="none"/>
        <c:tickLblPos val="nextTo"/>
        <c:crossAx val="836540304"/>
        <c:crosses val="autoZero"/>
        <c:auto val="1"/>
        <c:lblAlgn val="ctr"/>
        <c:lblOffset val="100"/>
        <c:noMultiLvlLbl val="0"/>
      </c:catAx>
      <c:valAx>
        <c:axId val="836540304"/>
        <c:scaling>
          <c:orientation val="minMax"/>
        </c:scaling>
        <c:delete val="1"/>
        <c:axPos val="b"/>
        <c:numFmt formatCode="0" sourceLinked="1"/>
        <c:majorTickMark val="none"/>
        <c:minorTickMark val="none"/>
        <c:tickLblPos val="nextTo"/>
        <c:crossAx val="8365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Report'!$G$49</c:f>
              <c:strCache>
                <c:ptCount val="1"/>
                <c:pt idx="0">
                  <c:v>Total</c:v>
                </c:pt>
              </c:strCache>
            </c:strRef>
          </c:tx>
          <c:spPr>
            <a:solidFill>
              <a:schemeClr val="accent1"/>
            </a:solidFill>
            <a:ln>
              <a:noFill/>
            </a:ln>
            <a:effectLst/>
          </c:spPr>
          <c:invertIfNegative val="0"/>
          <c:cat>
            <c:strRef>
              <c:f>'Pivot Report'!$F$50:$F$58</c:f>
              <c:strCache>
                <c:ptCount val="8"/>
                <c:pt idx="0">
                  <c:v>0-9</c:v>
                </c:pt>
                <c:pt idx="1">
                  <c:v>10-19</c:v>
                </c:pt>
                <c:pt idx="2">
                  <c:v>20-29</c:v>
                </c:pt>
                <c:pt idx="3">
                  <c:v>30-39</c:v>
                </c:pt>
                <c:pt idx="4">
                  <c:v>40-49</c:v>
                </c:pt>
                <c:pt idx="5">
                  <c:v>50-59</c:v>
                </c:pt>
                <c:pt idx="6">
                  <c:v>60-69</c:v>
                </c:pt>
                <c:pt idx="7">
                  <c:v>70-79</c:v>
                </c:pt>
              </c:strCache>
            </c:strRef>
          </c:cat>
          <c:val>
            <c:numRef>
              <c:f>'Pivot Report'!$G$50:$G$58</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2-BE95-4EFE-8FE4-8D2BBD46C670}"/>
            </c:ext>
          </c:extLst>
        </c:ser>
        <c:dLbls>
          <c:showLegendKey val="0"/>
          <c:showVal val="0"/>
          <c:showCatName val="0"/>
          <c:showSerName val="0"/>
          <c:showPercent val="0"/>
          <c:showBubbleSize val="0"/>
        </c:dLbls>
        <c:gapWidth val="219"/>
        <c:overlap val="-27"/>
        <c:axId val="867201360"/>
        <c:axId val="867205200"/>
      </c:barChart>
      <c:catAx>
        <c:axId val="86720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05200"/>
        <c:crosses val="autoZero"/>
        <c:auto val="1"/>
        <c:lblAlgn val="ctr"/>
        <c:lblOffset val="100"/>
        <c:noMultiLvlLbl val="0"/>
      </c:catAx>
      <c:valAx>
        <c:axId val="867205200"/>
        <c:scaling>
          <c:orientation val="minMax"/>
        </c:scaling>
        <c:delete val="1"/>
        <c:axPos val="l"/>
        <c:numFmt formatCode="0" sourceLinked="1"/>
        <c:majorTickMark val="none"/>
        <c:minorTickMark val="none"/>
        <c:tickLblPos val="nextTo"/>
        <c:crossAx val="86720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CF-4EE7-9F66-2E08F86255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CF-4EE7-9F66-2E08F8625537}"/>
              </c:ext>
            </c:extLst>
          </c:dPt>
          <c:cat>
            <c:strRef>
              <c:f>'Pivot Report'!$A$64:$A$66</c:f>
              <c:strCache>
                <c:ptCount val="2"/>
                <c:pt idx="0">
                  <c:v>Delay</c:v>
                </c:pt>
                <c:pt idx="1">
                  <c:v>OnTime</c:v>
                </c:pt>
              </c:strCache>
            </c:strRef>
          </c:cat>
          <c:val>
            <c:numRef>
              <c:f>'Pivot Report'!$B$64:$B$66</c:f>
              <c:numCache>
                <c:formatCode>0</c:formatCode>
                <c:ptCount val="2"/>
                <c:pt idx="0">
                  <c:v>311</c:v>
                </c:pt>
                <c:pt idx="1">
                  <c:v>195</c:v>
                </c:pt>
              </c:numCache>
            </c:numRef>
          </c:val>
          <c:extLst>
            <c:ext xmlns:c16="http://schemas.microsoft.com/office/drawing/2014/chart" uri="{C3380CC4-5D6E-409C-BE32-E72D297353CC}">
              <c16:uniqueId val="{00000005-F4EC-4702-9502-239EF60FAC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Report!PivotTable10</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0B-4822-9510-BD67E3D53C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0B-4822-9510-BD67E3D53CA3}"/>
              </c:ext>
            </c:extLst>
          </c:dPt>
          <c:cat>
            <c:strRef>
              <c:f>'Pivot Report'!$A$74:$A$76</c:f>
              <c:strCache>
                <c:ptCount val="2"/>
                <c:pt idx="0">
                  <c:v>Female</c:v>
                </c:pt>
                <c:pt idx="1">
                  <c:v>Male</c:v>
                </c:pt>
              </c:strCache>
            </c:strRef>
          </c:cat>
          <c:val>
            <c:numRef>
              <c:f>'Pivot Report'!$B$74:$B$76</c:f>
              <c:numCache>
                <c:formatCode>0</c:formatCode>
                <c:ptCount val="2"/>
                <c:pt idx="0">
                  <c:v>233</c:v>
                </c:pt>
                <c:pt idx="1">
                  <c:v>273</c:v>
                </c:pt>
              </c:numCache>
            </c:numRef>
          </c:val>
          <c:extLst>
            <c:ext xmlns:c16="http://schemas.microsoft.com/office/drawing/2014/chart" uri="{C3380CC4-5D6E-409C-BE32-E72D297353CC}">
              <c16:uniqueId val="{00000005-97F1-4FF1-966D-29587F79C0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cat>
            <c:strRef>
              <c:f>'Pivot Report'!$A$83:$A$91</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Report'!$B$83:$B$91</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1-6312-4AD9-A5C6-0687FD9C589F}"/>
            </c:ext>
          </c:extLst>
        </c:ser>
        <c:dLbls>
          <c:showLegendKey val="0"/>
          <c:showVal val="0"/>
          <c:showCatName val="0"/>
          <c:showSerName val="0"/>
          <c:showPercent val="0"/>
          <c:showBubbleSize val="0"/>
        </c:dLbls>
        <c:gapWidth val="182"/>
        <c:axId val="1761170720"/>
        <c:axId val="1761176960"/>
      </c:barChart>
      <c:catAx>
        <c:axId val="176117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76960"/>
        <c:crosses val="autoZero"/>
        <c:auto val="1"/>
        <c:lblAlgn val="ctr"/>
        <c:lblOffset val="100"/>
        <c:noMultiLvlLbl val="0"/>
      </c:catAx>
      <c:valAx>
        <c:axId val="1761176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7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0038119265795"/>
          <c:y val="0"/>
          <c:w val="0.86633083401949074"/>
          <c:h val="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4B85-4AEF-AF53-DCFBF923AE52}"/>
            </c:ext>
          </c:extLst>
        </c:ser>
        <c:dLbls>
          <c:showLegendKey val="0"/>
          <c:showVal val="0"/>
          <c:showCatName val="0"/>
          <c:showSerName val="0"/>
          <c:showPercent val="0"/>
          <c:showBubbleSize val="0"/>
        </c:dLbls>
        <c:axId val="1298351743"/>
        <c:axId val="1298357983"/>
      </c:areaChart>
      <c:catAx>
        <c:axId val="1298351743"/>
        <c:scaling>
          <c:orientation val="minMax"/>
        </c:scaling>
        <c:delete val="1"/>
        <c:axPos val="b"/>
        <c:numFmt formatCode="General" sourceLinked="1"/>
        <c:majorTickMark val="out"/>
        <c:minorTickMark val="none"/>
        <c:tickLblPos val="nextTo"/>
        <c:crossAx val="1298357983"/>
        <c:crosses val="autoZero"/>
        <c:auto val="1"/>
        <c:lblAlgn val="ctr"/>
        <c:lblOffset val="100"/>
        <c:noMultiLvlLbl val="0"/>
      </c:catAx>
      <c:valAx>
        <c:axId val="1298357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8351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255620256981947"/>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540A-4D26-9967-B50E0DE17EA4}"/>
            </c:ext>
          </c:extLst>
        </c:ser>
        <c:dLbls>
          <c:showLegendKey val="0"/>
          <c:showVal val="0"/>
          <c:showCatName val="0"/>
          <c:showSerName val="0"/>
          <c:showPercent val="0"/>
          <c:showBubbleSize val="0"/>
        </c:dLbls>
        <c:axId val="894195824"/>
        <c:axId val="894196784"/>
      </c:areaChart>
      <c:catAx>
        <c:axId val="894195824"/>
        <c:scaling>
          <c:orientation val="minMax"/>
        </c:scaling>
        <c:delete val="1"/>
        <c:axPos val="b"/>
        <c:numFmt formatCode="General" sourceLinked="1"/>
        <c:majorTickMark val="out"/>
        <c:minorTickMark val="none"/>
        <c:tickLblPos val="nextTo"/>
        <c:crossAx val="894196784"/>
        <c:crosses val="autoZero"/>
        <c:auto val="1"/>
        <c:lblAlgn val="ctr"/>
        <c:lblOffset val="100"/>
        <c:noMultiLvlLbl val="0"/>
      </c:catAx>
      <c:valAx>
        <c:axId val="894196784"/>
        <c:scaling>
          <c:orientation val="minMax"/>
        </c:scaling>
        <c:delete val="1"/>
        <c:axPos val="l"/>
        <c:numFmt formatCode="0.00" sourceLinked="1"/>
        <c:majorTickMark val="none"/>
        <c:minorTickMark val="none"/>
        <c:tickLblPos val="nextTo"/>
        <c:crossAx val="894195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Report!PivotTable7</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64040565519309E-2"/>
          <c:w val="0.97574274569845432"/>
          <c:h val="0.90635959434480695"/>
        </c:manualLayout>
      </c:layout>
      <c:areaChart>
        <c:grouping val="standard"/>
        <c:varyColors val="0"/>
        <c:ser>
          <c:idx val="0"/>
          <c:order val="0"/>
          <c:tx>
            <c:strRef>
              <c:f>'Pivot Report'!$N$5</c:f>
              <c:strCache>
                <c:ptCount val="1"/>
                <c:pt idx="0">
                  <c:v>Total</c:v>
                </c:pt>
              </c:strCache>
            </c:strRef>
          </c:tx>
          <c:spPr>
            <a:solidFill>
              <a:schemeClr val="accent1"/>
            </a:solidFill>
            <a:ln w="25400">
              <a:noFill/>
            </a:ln>
            <a:effectLst/>
          </c:spPr>
          <c:cat>
            <c:strRef>
              <c:f>'Pivot Report'!$M$6:$M$36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Report'!$N$6:$N$36</c:f>
              <c:numCache>
                <c:formatCode>_(* #,##0.00_);_(* \(#,##0.00\);_(* "-"??_);_(@_)</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89FC-4FD4-AA4C-AF257BECD57E}"/>
            </c:ext>
          </c:extLst>
        </c:ser>
        <c:dLbls>
          <c:showLegendKey val="0"/>
          <c:showVal val="0"/>
          <c:showCatName val="0"/>
          <c:showSerName val="0"/>
          <c:showPercent val="0"/>
          <c:showBubbleSize val="0"/>
        </c:dLbls>
        <c:axId val="1068092224"/>
        <c:axId val="1068098944"/>
      </c:areaChart>
      <c:catAx>
        <c:axId val="1068092224"/>
        <c:scaling>
          <c:orientation val="minMax"/>
        </c:scaling>
        <c:delete val="1"/>
        <c:axPos val="b"/>
        <c:numFmt formatCode="General" sourceLinked="1"/>
        <c:majorTickMark val="out"/>
        <c:minorTickMark val="none"/>
        <c:tickLblPos val="nextTo"/>
        <c:crossAx val="1068098944"/>
        <c:crosses val="autoZero"/>
        <c:auto val="1"/>
        <c:lblAlgn val="ctr"/>
        <c:lblOffset val="100"/>
        <c:noMultiLvlLbl val="0"/>
      </c:catAx>
      <c:valAx>
        <c:axId val="1068098944"/>
        <c:scaling>
          <c:orientation val="minMax"/>
        </c:scaling>
        <c:delete val="1"/>
        <c:axPos val="l"/>
        <c:numFmt formatCode="_(* #,##0.00_);_(* \(#,##0.00\);_(* &quot;-&quot;??_);_(@_)" sourceLinked="1"/>
        <c:majorTickMark val="none"/>
        <c:minorTickMark val="none"/>
        <c:tickLblPos val="nextTo"/>
        <c:crossAx val="106809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34063285865439E-2"/>
          <c:y val="7.9187656049591978E-2"/>
          <c:w val="0.91615853658536583"/>
          <c:h val="0.61488437256153794"/>
        </c:manualLayout>
      </c:layout>
      <c:barChart>
        <c:barDir val="col"/>
        <c:grouping val="clustered"/>
        <c:varyColors val="0"/>
        <c:ser>
          <c:idx val="0"/>
          <c:order val="0"/>
          <c:tx>
            <c:strRef>
              <c:f>'Pivot Report'!$G$49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Report'!$F$50:$F$58</c:f>
              <c:strCache>
                <c:ptCount val="8"/>
                <c:pt idx="0">
                  <c:v>0-9</c:v>
                </c:pt>
                <c:pt idx="1">
                  <c:v>10-19</c:v>
                </c:pt>
                <c:pt idx="2">
                  <c:v>20-29</c:v>
                </c:pt>
                <c:pt idx="3">
                  <c:v>30-39</c:v>
                </c:pt>
                <c:pt idx="4">
                  <c:v>40-49</c:v>
                </c:pt>
                <c:pt idx="5">
                  <c:v>50-59</c:v>
                </c:pt>
                <c:pt idx="6">
                  <c:v>60-69</c:v>
                </c:pt>
                <c:pt idx="7">
                  <c:v>70-79</c:v>
                </c:pt>
              </c:strCache>
            </c:strRef>
          </c:cat>
          <c:val>
            <c:numRef>
              <c:f>'Pivot Report'!$G$50:$G$58</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2-2645-4B4D-9023-37B210AE83FF}"/>
            </c:ext>
          </c:extLst>
        </c:ser>
        <c:dLbls>
          <c:showLegendKey val="0"/>
          <c:showVal val="0"/>
          <c:showCatName val="0"/>
          <c:showSerName val="0"/>
          <c:showPercent val="0"/>
          <c:showBubbleSize val="0"/>
        </c:dLbls>
        <c:gapWidth val="219"/>
        <c:overlap val="-27"/>
        <c:axId val="867201360"/>
        <c:axId val="867205200"/>
      </c:barChart>
      <c:catAx>
        <c:axId val="86720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867205200"/>
        <c:crosses val="autoZero"/>
        <c:auto val="1"/>
        <c:lblAlgn val="ctr"/>
        <c:lblOffset val="100"/>
        <c:noMultiLvlLbl val="0"/>
      </c:catAx>
      <c:valAx>
        <c:axId val="867205200"/>
        <c:scaling>
          <c:orientation val="minMax"/>
        </c:scaling>
        <c:delete val="1"/>
        <c:axPos val="l"/>
        <c:numFmt formatCode="0" sourceLinked="1"/>
        <c:majorTickMark val="none"/>
        <c:minorTickMark val="none"/>
        <c:tickLblPos val="nextTo"/>
        <c:crossAx val="86720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2757438005866107"/>
          <c:y val="0.22847298251992382"/>
          <c:w val="0.45308830992336213"/>
          <c:h val="0.69641350646775224"/>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AF-4616-B889-4D5FA26AD29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9AF-4616-B889-4D5FA26AD2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311</c:v>
                </c:pt>
                <c:pt idx="1">
                  <c:v>195</c:v>
                </c:pt>
              </c:numCache>
            </c:numRef>
          </c:val>
          <c:extLst>
            <c:ext xmlns:c16="http://schemas.microsoft.com/office/drawing/2014/chart" uri="{C3380CC4-5D6E-409C-BE32-E72D297353CC}">
              <c16:uniqueId val="{00000006-F84D-40BE-AEB7-2A8590F9D36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446395722189726"/>
          <c:y val="7.0254047811271939E-2"/>
          <c:w val="0.69557155428599726"/>
          <c:h val="0.12291892497421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560512566660066"/>
          <c:y val="0.1798417592563569"/>
          <c:w val="0.44514569808624771"/>
          <c:h val="0.60412671227997183"/>
        </c:manualLayout>
      </c:layout>
      <c:doughnutChart>
        <c:varyColors val="1"/>
        <c:ser>
          <c:idx val="0"/>
          <c:order val="0"/>
          <c:tx>
            <c:strRef>
              <c:f>'Pivot Report'!$B$73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3F2-4FC9-ADA1-9AC6BADEF722}"/>
              </c:ext>
            </c:extLst>
          </c:dPt>
          <c:dPt>
            <c:idx val="1"/>
            <c:bubble3D val="0"/>
            <c:spPr>
              <a:solidFill>
                <a:schemeClr val="accent2"/>
              </a:solidFill>
              <a:ln>
                <a:noFill/>
              </a:ln>
              <a:effectLst/>
            </c:spPr>
            <c:extLst>
              <c:ext xmlns:c16="http://schemas.microsoft.com/office/drawing/2014/chart" uri="{C3380CC4-5D6E-409C-BE32-E72D297353CC}">
                <c16:uniqueId val="{00000003-63F2-4FC9-ADA1-9AC6BADEF7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0</c:formatCode>
                <c:ptCount val="2"/>
                <c:pt idx="0">
                  <c:v>233</c:v>
                </c:pt>
                <c:pt idx="1">
                  <c:v>273</c:v>
                </c:pt>
              </c:numCache>
            </c:numRef>
          </c:val>
          <c:extLst>
            <c:ext xmlns:c16="http://schemas.microsoft.com/office/drawing/2014/chart" uri="{C3380CC4-5D6E-409C-BE32-E72D297353CC}">
              <c16:uniqueId val="{00000006-A08E-47AD-BF5E-928030C77914}"/>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layout>
        <c:manualLayout>
          <c:xMode val="edge"/>
          <c:yMode val="edge"/>
          <c:x val="4.2755711863818172E-2"/>
          <c:y val="4.8748863704366513E-2"/>
          <c:w val="0.76544499973165214"/>
          <c:h val="0.151072566361625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76940776766178"/>
          <c:y val="9.1636542055400422E-2"/>
          <c:w val="0.55252390808902296"/>
          <c:h val="0.78175284896500541"/>
        </c:manualLayout>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Report'!$B$83:$B$91</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2-97EB-42C0-80CF-5AA2CFB3996F}"/>
            </c:ext>
          </c:extLst>
        </c:ser>
        <c:dLbls>
          <c:showLegendKey val="0"/>
          <c:showVal val="0"/>
          <c:showCatName val="0"/>
          <c:showSerName val="0"/>
          <c:showPercent val="0"/>
          <c:showBubbleSize val="0"/>
        </c:dLbls>
        <c:gapWidth val="30"/>
        <c:axId val="1761170720"/>
        <c:axId val="1761176960"/>
      </c:barChart>
      <c:catAx>
        <c:axId val="176117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61176960"/>
        <c:crosses val="autoZero"/>
        <c:auto val="1"/>
        <c:lblAlgn val="ctr"/>
        <c:lblOffset val="100"/>
        <c:noMultiLvlLbl val="0"/>
      </c:catAx>
      <c:valAx>
        <c:axId val="176117696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11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06992026418191E-2"/>
          <c:y val="0.11247443762781185"/>
          <c:w val="0.94071394394984087"/>
          <c:h val="0.68813905930470343"/>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1-5D02-4677-A7E6-778C5C587F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98351743"/>
        <c:axId val="1298357983"/>
      </c:areaChart>
      <c:catAx>
        <c:axId val="12983517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98357983"/>
        <c:crosses val="autoZero"/>
        <c:auto val="1"/>
        <c:lblAlgn val="ctr"/>
        <c:lblOffset val="100"/>
        <c:noMultiLvlLbl val="0"/>
      </c:catAx>
      <c:valAx>
        <c:axId val="1298357983"/>
        <c:scaling>
          <c:orientation val="minMax"/>
        </c:scaling>
        <c:delete val="1"/>
        <c:axPos val="l"/>
        <c:numFmt formatCode="General" sourceLinked="1"/>
        <c:majorTickMark val="out"/>
        <c:minorTickMark val="none"/>
        <c:tickLblPos val="nextTo"/>
        <c:crossAx val="1298351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5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54540682414699E-2"/>
          <c:y val="2.7187935672629445E-2"/>
          <c:w val="0.95126839973224209"/>
          <c:h val="0.85311405297445397"/>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1-F2D7-40E0-ADD9-957E2A23DC1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94195824"/>
        <c:axId val="894196784"/>
      </c:areaChart>
      <c:catAx>
        <c:axId val="8941958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4196784"/>
        <c:crosses val="autoZero"/>
        <c:auto val="1"/>
        <c:lblAlgn val="ctr"/>
        <c:lblOffset val="100"/>
        <c:noMultiLvlLbl val="0"/>
      </c:catAx>
      <c:valAx>
        <c:axId val="894196784"/>
        <c:scaling>
          <c:orientation val="minMax"/>
        </c:scaling>
        <c:delete val="1"/>
        <c:axPos val="l"/>
        <c:numFmt formatCode="0.00" sourceLinked="1"/>
        <c:majorTickMark val="out"/>
        <c:minorTickMark val="none"/>
        <c:tickLblPos val="nextTo"/>
        <c:crossAx val="894195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Report!PivotTable7</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2510508313599E-2"/>
          <c:y val="9.2465027943951769E-2"/>
          <c:w val="0.92084549944704341"/>
          <c:h val="0.68503094147358012"/>
        </c:manualLayout>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Report'!$N$6:$N$36</c:f>
              <c:numCache>
                <c:formatCode>_(* #,##0.00_);_(* \(#,##0.00\);_(* "-"??_);_(@_)</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1-B37A-4C3F-96A3-E35F5E3931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68092224"/>
        <c:axId val="1068098944"/>
      </c:areaChart>
      <c:catAx>
        <c:axId val="1068092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8098944"/>
        <c:crosses val="autoZero"/>
        <c:auto val="1"/>
        <c:lblAlgn val="ctr"/>
        <c:lblOffset val="100"/>
        <c:noMultiLvlLbl val="0"/>
      </c:catAx>
      <c:valAx>
        <c:axId val="1068098944"/>
        <c:scaling>
          <c:orientation val="minMax"/>
        </c:scaling>
        <c:delete val="1"/>
        <c:axPos val="l"/>
        <c:numFmt formatCode="_(* #,##0.00_);_(* \(#,##0.00\);_(* &quot;-&quot;??_);_(@_)" sourceLinked="1"/>
        <c:majorTickMark val="out"/>
        <c:minorTickMark val="none"/>
        <c:tickLblPos val="nextTo"/>
        <c:crossAx val="106809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etailed Explanation Of ER'!A1"/><Relationship Id="rId13" Type="http://schemas.openxmlformats.org/officeDocument/2006/relationships/chart" Target="../charts/chart9.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image" Target="../media/image9.emf"/><Relationship Id="rId2" Type="http://schemas.openxmlformats.org/officeDocument/2006/relationships/image" Target="../media/image3.png"/><Relationship Id="rId16" Type="http://schemas.openxmlformats.org/officeDocument/2006/relationships/chart" Target="../charts/chart12.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8.xml"/><Relationship Id="rId5" Type="http://schemas.openxmlformats.org/officeDocument/2006/relationships/image" Target="../media/image6.svg"/><Relationship Id="rId15" Type="http://schemas.openxmlformats.org/officeDocument/2006/relationships/chart" Target="../charts/chart11.xml"/><Relationship Id="rId10" Type="http://schemas.openxmlformats.org/officeDocument/2006/relationships/chart" Target="../charts/chart7.xml"/><Relationship Id="rId4" Type="http://schemas.openxmlformats.org/officeDocument/2006/relationships/image" Target="../media/image5.png"/><Relationship Id="rId9" Type="http://schemas.openxmlformats.org/officeDocument/2006/relationships/chart" Target="../charts/chart6.xml"/><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image" Target="../media/image12.svg"/><Relationship Id="rId2" Type="http://schemas.openxmlformats.org/officeDocument/2006/relationships/chart" Target="../charts/chart13.xml"/><Relationship Id="rId1" Type="http://schemas.openxmlformats.org/officeDocument/2006/relationships/hyperlink" Target="#'Daily ER Patient'!A1"/><Relationship Id="rId6" Type="http://schemas.openxmlformats.org/officeDocument/2006/relationships/image" Target="../media/image11.png"/><Relationship Id="rId5" Type="http://schemas.openxmlformats.org/officeDocument/2006/relationships/hyperlink" Target="#Dashboard!A1"/><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47640</xdr:colOff>
      <xdr:row>48</xdr:row>
      <xdr:rowOff>69908</xdr:rowOff>
    </xdr:from>
    <xdr:to>
      <xdr:col>4</xdr:col>
      <xdr:colOff>43723</xdr:colOff>
      <xdr:row>51</xdr:row>
      <xdr:rowOff>76900</xdr:rowOff>
    </xdr:to>
    <xdr:graphicFrame macro="">
      <xdr:nvGraphicFramePr>
        <xdr:cNvPr id="7" name="Chart 6">
          <a:extLst>
            <a:ext uri="{FF2B5EF4-FFF2-40B4-BE49-F238E27FC236}">
              <a16:creationId xmlns:a16="http://schemas.microsoft.com/office/drawing/2014/main" id="{AF5EBE48-EFFA-B7C4-66FA-B58B0CB3D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187188</xdr:colOff>
      <xdr:row>50</xdr:row>
      <xdr:rowOff>85223</xdr:rowOff>
    </xdr:from>
    <xdr:to>
      <xdr:col>9</xdr:col>
      <xdr:colOff>837196</xdr:colOff>
      <xdr:row>57</xdr:row>
      <xdr:rowOff>45184</xdr:rowOff>
    </xdr:to>
    <xdr:graphicFrame macro="">
      <xdr:nvGraphicFramePr>
        <xdr:cNvPr id="8" name="Chart 7">
          <a:extLst>
            <a:ext uri="{FF2B5EF4-FFF2-40B4-BE49-F238E27FC236}">
              <a16:creationId xmlns:a16="http://schemas.microsoft.com/office/drawing/2014/main" id="{64931EE5-5621-EE1D-DEEB-0C6CCC24D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416093</xdr:colOff>
      <xdr:row>60</xdr:row>
      <xdr:rowOff>155408</xdr:rowOff>
    </xdr:from>
    <xdr:to>
      <xdr:col>4</xdr:col>
      <xdr:colOff>1579145</xdr:colOff>
      <xdr:row>68</xdr:row>
      <xdr:rowOff>105778</xdr:rowOff>
    </xdr:to>
    <xdr:graphicFrame macro="">
      <xdr:nvGraphicFramePr>
        <xdr:cNvPr id="2" name="Chart 1">
          <a:extLst>
            <a:ext uri="{FF2B5EF4-FFF2-40B4-BE49-F238E27FC236}">
              <a16:creationId xmlns:a16="http://schemas.microsoft.com/office/drawing/2014/main" id="{2D56B201-3FD2-2BFA-2E5C-6EB23B94B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105276</xdr:colOff>
      <xdr:row>71</xdr:row>
      <xdr:rowOff>35092</xdr:rowOff>
    </xdr:from>
    <xdr:to>
      <xdr:col>4</xdr:col>
      <xdr:colOff>1148013</xdr:colOff>
      <xdr:row>78</xdr:row>
      <xdr:rowOff>175460</xdr:rowOff>
    </xdr:to>
    <xdr:graphicFrame macro="">
      <xdr:nvGraphicFramePr>
        <xdr:cNvPr id="3" name="Chart 2">
          <a:extLst>
            <a:ext uri="{FF2B5EF4-FFF2-40B4-BE49-F238E27FC236}">
              <a16:creationId xmlns:a16="http://schemas.microsoft.com/office/drawing/2014/main" id="{AEBF9F64-CA99-86E2-1FA3-54FDC65F1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340895</xdr:colOff>
      <xdr:row>82</xdr:row>
      <xdr:rowOff>55144</xdr:rowOff>
    </xdr:from>
    <xdr:to>
      <xdr:col>5</xdr:col>
      <xdr:colOff>714374</xdr:colOff>
      <xdr:row>90</xdr:row>
      <xdr:rowOff>135855</xdr:rowOff>
    </xdr:to>
    <xdr:graphicFrame macro="">
      <xdr:nvGraphicFramePr>
        <xdr:cNvPr id="5" name="Chart 4">
          <a:extLst>
            <a:ext uri="{FF2B5EF4-FFF2-40B4-BE49-F238E27FC236}">
              <a16:creationId xmlns:a16="http://schemas.microsoft.com/office/drawing/2014/main" id="{CF7A71BD-4E22-B51F-1D61-BEE08C523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254067</xdr:colOff>
      <xdr:row>93</xdr:row>
      <xdr:rowOff>21658</xdr:rowOff>
    </xdr:from>
    <xdr:to>
      <xdr:col>3</xdr:col>
      <xdr:colOff>583933</xdr:colOff>
      <xdr:row>97</xdr:row>
      <xdr:rowOff>95251</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B3341132-69CB-2787-BEB0-2C2E08649D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437172" y="16800697"/>
              <a:ext cx="1828800" cy="795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35231</xdr:colOff>
      <xdr:row>0</xdr:row>
      <xdr:rowOff>75627</xdr:rowOff>
    </xdr:from>
    <xdr:to>
      <xdr:col>5</xdr:col>
      <xdr:colOff>228115</xdr:colOff>
      <xdr:row>3</xdr:row>
      <xdr:rowOff>29907</xdr:rowOff>
    </xdr:to>
    <xdr:sp macro="" textlink="">
      <xdr:nvSpPr>
        <xdr:cNvPr id="2" name="Rectangle: Rounded Corners 1">
          <a:extLst>
            <a:ext uri="{FF2B5EF4-FFF2-40B4-BE49-F238E27FC236}">
              <a16:creationId xmlns:a16="http://schemas.microsoft.com/office/drawing/2014/main" id="{E925E6F1-9D3B-E108-6008-D6C894638D08}"/>
            </a:ext>
          </a:extLst>
        </xdr:cNvPr>
        <xdr:cNvSpPr/>
      </xdr:nvSpPr>
      <xdr:spPr>
        <a:xfrm>
          <a:off x="35231" y="75627"/>
          <a:ext cx="3106413" cy="50897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256271</xdr:colOff>
      <xdr:row>0</xdr:row>
      <xdr:rowOff>78098</xdr:rowOff>
    </xdr:from>
    <xdr:to>
      <xdr:col>7</xdr:col>
      <xdr:colOff>61633</xdr:colOff>
      <xdr:row>3</xdr:row>
      <xdr:rowOff>39998</xdr:rowOff>
    </xdr:to>
    <xdr:sp macro="" textlink="">
      <xdr:nvSpPr>
        <xdr:cNvPr id="3" name="Rectangle: Rounded Corners 2">
          <a:extLst>
            <a:ext uri="{FF2B5EF4-FFF2-40B4-BE49-F238E27FC236}">
              <a16:creationId xmlns:a16="http://schemas.microsoft.com/office/drawing/2014/main" id="{2518DC4C-F7BC-2BC5-86AD-B61B4870CE25}"/>
            </a:ext>
          </a:extLst>
        </xdr:cNvPr>
        <xdr:cNvSpPr/>
      </xdr:nvSpPr>
      <xdr:spPr>
        <a:xfrm>
          <a:off x="3169800" y="78098"/>
          <a:ext cx="1026804" cy="516591"/>
        </a:xfrm>
        <a:prstGeom prst="roundRect">
          <a:avLst>
            <a:gd name="adj" fmla="val 11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92536</xdr:colOff>
      <xdr:row>0</xdr:row>
      <xdr:rowOff>36923</xdr:rowOff>
    </xdr:from>
    <xdr:to>
      <xdr:col>9</xdr:col>
      <xdr:colOff>169390</xdr:colOff>
      <xdr:row>6</xdr:row>
      <xdr:rowOff>178426</xdr:rowOff>
    </xdr:to>
    <xdr:sp macro="" textlink="">
      <xdr:nvSpPr>
        <xdr:cNvPr id="4" name="Rectangle: Rounded Corners 3">
          <a:extLst>
            <a:ext uri="{FF2B5EF4-FFF2-40B4-BE49-F238E27FC236}">
              <a16:creationId xmlns:a16="http://schemas.microsoft.com/office/drawing/2014/main" id="{DB27A525-0385-6F09-6787-E613BEF5D386}"/>
            </a:ext>
          </a:extLst>
        </xdr:cNvPr>
        <xdr:cNvSpPr/>
      </xdr:nvSpPr>
      <xdr:spPr>
        <a:xfrm>
          <a:off x="4227507" y="36923"/>
          <a:ext cx="1298295" cy="1250885"/>
        </a:xfrm>
        <a:prstGeom prst="roundRect">
          <a:avLst>
            <a:gd name="adj" fmla="val 1337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216681</xdr:colOff>
      <xdr:row>0</xdr:row>
      <xdr:rowOff>33369</xdr:rowOff>
    </xdr:from>
    <xdr:to>
      <xdr:col>11</xdr:col>
      <xdr:colOff>293198</xdr:colOff>
      <xdr:row>6</xdr:row>
      <xdr:rowOff>174237</xdr:rowOff>
    </xdr:to>
    <xdr:sp macro="" textlink="">
      <xdr:nvSpPr>
        <xdr:cNvPr id="5" name="Rectangle: Rounded Corners 4">
          <a:extLst>
            <a:ext uri="{FF2B5EF4-FFF2-40B4-BE49-F238E27FC236}">
              <a16:creationId xmlns:a16="http://schemas.microsoft.com/office/drawing/2014/main" id="{C937DE4B-A1D9-FF4A-A725-781691D2A6D9}"/>
            </a:ext>
          </a:extLst>
        </xdr:cNvPr>
        <xdr:cNvSpPr/>
      </xdr:nvSpPr>
      <xdr:spPr>
        <a:xfrm>
          <a:off x="5573093" y="33369"/>
          <a:ext cx="1297958" cy="1250250"/>
        </a:xfrm>
        <a:prstGeom prst="roundRect">
          <a:avLst>
            <a:gd name="adj" fmla="val 1173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35232</xdr:colOff>
      <xdr:row>3</xdr:row>
      <xdr:rowOff>59242</xdr:rowOff>
    </xdr:from>
    <xdr:to>
      <xdr:col>1</xdr:col>
      <xdr:colOff>147484</xdr:colOff>
      <xdr:row>16</xdr:row>
      <xdr:rowOff>24581</xdr:rowOff>
    </xdr:to>
    <xdr:sp macro="" textlink="">
      <xdr:nvSpPr>
        <xdr:cNvPr id="6" name="Rectangle: Rounded Corners 5">
          <a:extLst>
            <a:ext uri="{FF2B5EF4-FFF2-40B4-BE49-F238E27FC236}">
              <a16:creationId xmlns:a16="http://schemas.microsoft.com/office/drawing/2014/main" id="{58CA7F74-EBC2-CEAD-6B7E-6087827221E0}"/>
            </a:ext>
          </a:extLst>
        </xdr:cNvPr>
        <xdr:cNvSpPr/>
      </xdr:nvSpPr>
      <xdr:spPr>
        <a:xfrm>
          <a:off x="35232" y="613933"/>
          <a:ext cx="722973" cy="236900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223682</xdr:colOff>
      <xdr:row>3</xdr:row>
      <xdr:rowOff>72602</xdr:rowOff>
    </xdr:from>
    <xdr:to>
      <xdr:col>3</xdr:col>
      <xdr:colOff>58999</xdr:colOff>
      <xdr:row>7</xdr:row>
      <xdr:rowOff>13361</xdr:rowOff>
    </xdr:to>
    <xdr:sp macro="" textlink="">
      <xdr:nvSpPr>
        <xdr:cNvPr id="7" name="Rectangle: Rounded Corners 6">
          <a:extLst>
            <a:ext uri="{FF2B5EF4-FFF2-40B4-BE49-F238E27FC236}">
              <a16:creationId xmlns:a16="http://schemas.microsoft.com/office/drawing/2014/main" id="{42CC302F-4DEA-DC54-D1BF-E14CCB8C40EA}"/>
            </a:ext>
          </a:extLst>
        </xdr:cNvPr>
        <xdr:cNvSpPr/>
      </xdr:nvSpPr>
      <xdr:spPr>
        <a:xfrm>
          <a:off x="835223" y="625901"/>
          <a:ext cx="1058400" cy="678492"/>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119983</xdr:colOff>
      <xdr:row>3</xdr:row>
      <xdr:rowOff>75629</xdr:rowOff>
    </xdr:from>
    <xdr:to>
      <xdr:col>5</xdr:col>
      <xdr:colOff>96052</xdr:colOff>
      <xdr:row>7</xdr:row>
      <xdr:rowOff>16388</xdr:rowOff>
    </xdr:to>
    <xdr:sp macro="" textlink="">
      <xdr:nvSpPr>
        <xdr:cNvPr id="8" name="Rectangle: Rounded Corners 7">
          <a:extLst>
            <a:ext uri="{FF2B5EF4-FFF2-40B4-BE49-F238E27FC236}">
              <a16:creationId xmlns:a16="http://schemas.microsoft.com/office/drawing/2014/main" id="{94FCFE8F-BCA4-AE08-3C02-F583ACC715E2}"/>
            </a:ext>
          </a:extLst>
        </xdr:cNvPr>
        <xdr:cNvSpPr/>
      </xdr:nvSpPr>
      <xdr:spPr>
        <a:xfrm>
          <a:off x="1948783" y="624269"/>
          <a:ext cx="1058109" cy="67227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150459</xdr:colOff>
      <xdr:row>3</xdr:row>
      <xdr:rowOff>75628</xdr:rowOff>
    </xdr:from>
    <xdr:to>
      <xdr:col>7</xdr:col>
      <xdr:colOff>50426</xdr:colOff>
      <xdr:row>7</xdr:row>
      <xdr:rowOff>16387</xdr:rowOff>
    </xdr:to>
    <xdr:sp macro="" textlink="">
      <xdr:nvSpPr>
        <xdr:cNvPr id="9" name="Rectangle: Rounded Corners 8">
          <a:extLst>
            <a:ext uri="{FF2B5EF4-FFF2-40B4-BE49-F238E27FC236}">
              <a16:creationId xmlns:a16="http://schemas.microsoft.com/office/drawing/2014/main" id="{B217D6DC-25A8-6D4A-8C24-F7F117E97F8E}"/>
            </a:ext>
          </a:extLst>
        </xdr:cNvPr>
        <xdr:cNvSpPr/>
      </xdr:nvSpPr>
      <xdr:spPr>
        <a:xfrm>
          <a:off x="3063988" y="630319"/>
          <a:ext cx="1121409" cy="68034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200748</xdr:colOff>
      <xdr:row>9</xdr:row>
      <xdr:rowOff>123558</xdr:rowOff>
    </xdr:from>
    <xdr:to>
      <xdr:col>7</xdr:col>
      <xdr:colOff>33617</xdr:colOff>
      <xdr:row>15</xdr:row>
      <xdr:rowOff>168087</xdr:rowOff>
    </xdr:to>
    <xdr:sp macro="" textlink="">
      <xdr:nvSpPr>
        <xdr:cNvPr id="11" name="Rectangle: Rounded Corners 10">
          <a:extLst>
            <a:ext uri="{FF2B5EF4-FFF2-40B4-BE49-F238E27FC236}">
              <a16:creationId xmlns:a16="http://schemas.microsoft.com/office/drawing/2014/main" id="{D9416FB8-EF81-8321-7B57-8C015045B1F4}"/>
            </a:ext>
          </a:extLst>
        </xdr:cNvPr>
        <xdr:cNvSpPr/>
      </xdr:nvSpPr>
      <xdr:spPr>
        <a:xfrm>
          <a:off x="811469" y="1787632"/>
          <a:ext cx="3357119" cy="1153911"/>
        </a:xfrm>
        <a:prstGeom prst="roundRect">
          <a:avLst>
            <a:gd name="adj" fmla="val 766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76645</xdr:colOff>
      <xdr:row>7</xdr:row>
      <xdr:rowOff>36283</xdr:rowOff>
    </xdr:from>
    <xdr:to>
      <xdr:col>11</xdr:col>
      <xdr:colOff>285750</xdr:colOff>
      <xdr:row>15</xdr:row>
      <xdr:rowOff>177811</xdr:rowOff>
    </xdr:to>
    <xdr:sp macro="" textlink="">
      <xdr:nvSpPr>
        <xdr:cNvPr id="26" name="Rectangle: Rounded Corners 25">
          <a:extLst>
            <a:ext uri="{FF2B5EF4-FFF2-40B4-BE49-F238E27FC236}">
              <a16:creationId xmlns:a16="http://schemas.microsoft.com/office/drawing/2014/main" id="{50D1269A-FDBE-6498-87FD-6D234A07BEB3}"/>
            </a:ext>
          </a:extLst>
        </xdr:cNvPr>
        <xdr:cNvSpPr/>
      </xdr:nvSpPr>
      <xdr:spPr>
        <a:xfrm>
          <a:off x="4211616" y="1330562"/>
          <a:ext cx="2651987" cy="1620705"/>
        </a:xfrm>
        <a:prstGeom prst="roundRect">
          <a:avLst>
            <a:gd name="adj" fmla="val 733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135897</xdr:colOff>
      <xdr:row>0</xdr:row>
      <xdr:rowOff>135898</xdr:rowOff>
    </xdr:from>
    <xdr:to>
      <xdr:col>5</xdr:col>
      <xdr:colOff>208700</xdr:colOff>
      <xdr:row>2</xdr:row>
      <xdr:rowOff>63096</xdr:rowOff>
    </xdr:to>
    <xdr:sp macro="" textlink="">
      <xdr:nvSpPr>
        <xdr:cNvPr id="10" name="TextBox 9">
          <a:extLst>
            <a:ext uri="{FF2B5EF4-FFF2-40B4-BE49-F238E27FC236}">
              <a16:creationId xmlns:a16="http://schemas.microsoft.com/office/drawing/2014/main" id="{6462869B-11E4-5715-7106-D78B3AA7E7AE}"/>
            </a:ext>
          </a:extLst>
        </xdr:cNvPr>
        <xdr:cNvSpPr txBox="1"/>
      </xdr:nvSpPr>
      <xdr:spPr>
        <a:xfrm>
          <a:off x="747438" y="135898"/>
          <a:ext cx="2378217" cy="29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dk1"/>
              </a:solidFill>
            </a:rPr>
            <a:t>Hospital Emergency Room Dashboard</a:t>
          </a:r>
        </a:p>
      </xdr:txBody>
    </xdr:sp>
    <xdr:clientData/>
  </xdr:twoCellAnchor>
  <xdr:twoCellAnchor>
    <xdr:from>
      <xdr:col>2</xdr:col>
      <xdr:colOff>34945</xdr:colOff>
      <xdr:row>7</xdr:row>
      <xdr:rowOff>770</xdr:rowOff>
    </xdr:from>
    <xdr:to>
      <xdr:col>4</xdr:col>
      <xdr:colOff>49505</xdr:colOff>
      <xdr:row>8</xdr:row>
      <xdr:rowOff>112401</xdr:rowOff>
    </xdr:to>
    <xdr:sp macro="" textlink="">
      <xdr:nvSpPr>
        <xdr:cNvPr id="17" name="TextBox 16">
          <a:extLst>
            <a:ext uri="{FF2B5EF4-FFF2-40B4-BE49-F238E27FC236}">
              <a16:creationId xmlns:a16="http://schemas.microsoft.com/office/drawing/2014/main" id="{DC4D34DC-379C-F2C3-3552-5B04630F17AA}"/>
            </a:ext>
          </a:extLst>
        </xdr:cNvPr>
        <xdr:cNvSpPr txBox="1"/>
      </xdr:nvSpPr>
      <xdr:spPr>
        <a:xfrm>
          <a:off x="1258028" y="1291802"/>
          <a:ext cx="1096891" cy="29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dk1"/>
            </a:solidFill>
          </a:endParaRPr>
        </a:p>
      </xdr:txBody>
    </xdr:sp>
    <xdr:clientData/>
  </xdr:twoCellAnchor>
  <xdr:twoCellAnchor editAs="oneCell">
    <xdr:from>
      <xdr:col>0</xdr:col>
      <xdr:colOff>16809</xdr:colOff>
      <xdr:row>0</xdr:row>
      <xdr:rowOff>60846</xdr:rowOff>
    </xdr:from>
    <xdr:to>
      <xdr:col>1</xdr:col>
      <xdr:colOff>17931</xdr:colOff>
      <xdr:row>3</xdr:row>
      <xdr:rowOff>41433</xdr:rowOff>
    </xdr:to>
    <xdr:pic>
      <xdr:nvPicPr>
        <xdr:cNvPr id="27" name="Picture 26">
          <a:extLst>
            <a:ext uri="{FF2B5EF4-FFF2-40B4-BE49-F238E27FC236}">
              <a16:creationId xmlns:a16="http://schemas.microsoft.com/office/drawing/2014/main" id="{AAB30DCC-D961-A942-FC2F-F88D660EEB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706" t="4545" r="20000" b="-4545"/>
        <a:stretch>
          <a:fillRect/>
        </a:stretch>
      </xdr:blipFill>
      <xdr:spPr>
        <a:xfrm>
          <a:off x="16809" y="60846"/>
          <a:ext cx="611843" cy="535278"/>
        </a:xfrm>
        <a:prstGeom prst="rect">
          <a:avLst/>
        </a:prstGeom>
      </xdr:spPr>
    </xdr:pic>
    <xdr:clientData/>
  </xdr:twoCellAnchor>
  <xdr:twoCellAnchor editAs="absolute">
    <xdr:from>
      <xdr:col>2</xdr:col>
      <xdr:colOff>45623</xdr:colOff>
      <xdr:row>1</xdr:row>
      <xdr:rowOff>123279</xdr:rowOff>
    </xdr:from>
    <xdr:to>
      <xdr:col>3</xdr:col>
      <xdr:colOff>461084</xdr:colOff>
      <xdr:row>2</xdr:row>
      <xdr:rowOff>155312</xdr:rowOff>
    </xdr:to>
    <xdr:sp macro="" textlink="">
      <xdr:nvSpPr>
        <xdr:cNvPr id="28" name="TextBox 27">
          <a:extLst>
            <a:ext uri="{FF2B5EF4-FFF2-40B4-BE49-F238E27FC236}">
              <a16:creationId xmlns:a16="http://schemas.microsoft.com/office/drawing/2014/main" id="{0476ABD8-C479-CC0A-779B-2F5E38972804}"/>
            </a:ext>
          </a:extLst>
        </xdr:cNvPr>
        <xdr:cNvSpPr txBox="1"/>
      </xdr:nvSpPr>
      <xdr:spPr>
        <a:xfrm>
          <a:off x="1268706" y="307712"/>
          <a:ext cx="1027002" cy="216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dk1"/>
              </a:solidFill>
            </a:rPr>
            <a:t>Monthly</a:t>
          </a:r>
          <a:r>
            <a:rPr lang="en-IN" sz="1100" b="1" baseline="0">
              <a:solidFill>
                <a:schemeClr val="dk1"/>
              </a:solidFill>
            </a:rPr>
            <a:t> Report</a:t>
          </a:r>
          <a:endParaRPr lang="en-IN" sz="1100" b="1">
            <a:solidFill>
              <a:schemeClr val="dk1"/>
            </a:solidFill>
          </a:endParaRPr>
        </a:p>
      </xdr:txBody>
    </xdr:sp>
    <xdr:clientData/>
  </xdr:twoCellAnchor>
  <xdr:twoCellAnchor editAs="absolute">
    <xdr:from>
      <xdr:col>1</xdr:col>
      <xdr:colOff>228114</xdr:colOff>
      <xdr:row>4</xdr:row>
      <xdr:rowOff>144635</xdr:rowOff>
    </xdr:from>
    <xdr:to>
      <xdr:col>3</xdr:col>
      <xdr:colOff>53388</xdr:colOff>
      <xdr:row>5</xdr:row>
      <xdr:rowOff>176667</xdr:rowOff>
    </xdr:to>
    <xdr:sp macro="" textlink="">
      <xdr:nvSpPr>
        <xdr:cNvPr id="31" name="TextBox 30">
          <a:extLst>
            <a:ext uri="{FF2B5EF4-FFF2-40B4-BE49-F238E27FC236}">
              <a16:creationId xmlns:a16="http://schemas.microsoft.com/office/drawing/2014/main" id="{F2CAF447-FC30-0ECF-B9D4-44E6DF3830AB}"/>
            </a:ext>
          </a:extLst>
        </xdr:cNvPr>
        <xdr:cNvSpPr txBox="1"/>
      </xdr:nvSpPr>
      <xdr:spPr>
        <a:xfrm>
          <a:off x="839655" y="882367"/>
          <a:ext cx="1048357" cy="216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dk1"/>
              </a:solidFill>
            </a:rPr>
            <a:t>No</a:t>
          </a:r>
          <a:r>
            <a:rPr lang="en-IN" sz="800" b="1" baseline="0">
              <a:solidFill>
                <a:schemeClr val="dk1"/>
              </a:solidFill>
            </a:rPr>
            <a:t> .Of </a:t>
          </a:r>
          <a:r>
            <a:rPr lang="en-IN" sz="900" b="1" baseline="0">
              <a:solidFill>
                <a:schemeClr val="dk1"/>
              </a:solidFill>
            </a:rPr>
            <a:t>Patient</a:t>
          </a:r>
          <a:endParaRPr lang="en-IN" sz="800" b="1">
            <a:solidFill>
              <a:schemeClr val="dk1"/>
            </a:solidFill>
          </a:endParaRPr>
        </a:p>
      </xdr:txBody>
    </xdr:sp>
    <xdr:clientData/>
  </xdr:twoCellAnchor>
  <xdr:twoCellAnchor editAs="absolute">
    <xdr:from>
      <xdr:col>1</xdr:col>
      <xdr:colOff>545533</xdr:colOff>
      <xdr:row>4</xdr:row>
      <xdr:rowOff>550</xdr:rowOff>
    </xdr:from>
    <xdr:to>
      <xdr:col>2</xdr:col>
      <xdr:colOff>334891</xdr:colOff>
      <xdr:row>5</xdr:row>
      <xdr:rowOff>4853</xdr:rowOff>
    </xdr:to>
    <xdr:sp macro="" textlink="'Pivot Report'!A5">
      <xdr:nvSpPr>
        <xdr:cNvPr id="34" name="TextBox 33">
          <a:extLst>
            <a:ext uri="{FF2B5EF4-FFF2-40B4-BE49-F238E27FC236}">
              <a16:creationId xmlns:a16="http://schemas.microsoft.com/office/drawing/2014/main" id="{7580C890-D900-C896-A612-4EDA2117A439}"/>
            </a:ext>
          </a:extLst>
        </xdr:cNvPr>
        <xdr:cNvSpPr txBox="1"/>
      </xdr:nvSpPr>
      <xdr:spPr>
        <a:xfrm>
          <a:off x="1157074" y="733849"/>
          <a:ext cx="400900" cy="19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586FF8A-3311-4B3D-A929-A9204A78EADA}" type="TxLink">
            <a:rPr lang="en-US" sz="1100" b="0" i="0" u="none" strike="noStrike">
              <a:solidFill>
                <a:srgbClr val="000000"/>
              </a:solidFill>
              <a:latin typeface="Calibri"/>
              <a:ea typeface="Calibri"/>
              <a:cs typeface="Calibri"/>
            </a:rPr>
            <a:pPr algn="ctr"/>
            <a:t>506</a:t>
          </a:fld>
          <a:endParaRPr lang="en-IN" sz="1100" b="1">
            <a:solidFill>
              <a:schemeClr val="dk1"/>
            </a:solidFill>
          </a:endParaRPr>
        </a:p>
      </xdr:txBody>
    </xdr:sp>
    <xdr:clientData/>
  </xdr:twoCellAnchor>
  <xdr:twoCellAnchor editAs="absolute">
    <xdr:from>
      <xdr:col>3</xdr:col>
      <xdr:colOff>126190</xdr:colOff>
      <xdr:row>4</xdr:row>
      <xdr:rowOff>144635</xdr:rowOff>
    </xdr:from>
    <xdr:to>
      <xdr:col>5</xdr:col>
      <xdr:colOff>92216</xdr:colOff>
      <xdr:row>5</xdr:row>
      <xdr:rowOff>176667</xdr:rowOff>
    </xdr:to>
    <xdr:sp macro="" textlink="">
      <xdr:nvSpPr>
        <xdr:cNvPr id="35" name="TextBox 34">
          <a:extLst>
            <a:ext uri="{FF2B5EF4-FFF2-40B4-BE49-F238E27FC236}">
              <a16:creationId xmlns:a16="http://schemas.microsoft.com/office/drawing/2014/main" id="{A4970510-7687-FFF6-12F3-8B372D68B8D3}"/>
            </a:ext>
          </a:extLst>
        </xdr:cNvPr>
        <xdr:cNvSpPr txBox="1"/>
      </xdr:nvSpPr>
      <xdr:spPr>
        <a:xfrm>
          <a:off x="1951513" y="874764"/>
          <a:ext cx="1046733" cy="214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dk1"/>
              </a:solidFill>
            </a:rPr>
            <a:t>Average</a:t>
          </a:r>
          <a:r>
            <a:rPr lang="en-IN" sz="800" b="1" baseline="0">
              <a:solidFill>
                <a:schemeClr val="dk1"/>
              </a:solidFill>
            </a:rPr>
            <a:t> </a:t>
          </a:r>
          <a:r>
            <a:rPr lang="en-IN" sz="900" b="1" baseline="0">
              <a:solidFill>
                <a:schemeClr val="dk1"/>
              </a:solidFill>
            </a:rPr>
            <a:t>Wait</a:t>
          </a:r>
          <a:r>
            <a:rPr lang="en-IN" sz="800" b="1" baseline="0">
              <a:solidFill>
                <a:schemeClr val="dk1"/>
              </a:solidFill>
            </a:rPr>
            <a:t> Time</a:t>
          </a:r>
          <a:endParaRPr lang="en-IN" sz="800" b="1">
            <a:solidFill>
              <a:schemeClr val="dk1"/>
            </a:solidFill>
          </a:endParaRPr>
        </a:p>
      </xdr:txBody>
    </xdr:sp>
    <xdr:clientData/>
  </xdr:twoCellAnchor>
  <xdr:twoCellAnchor editAs="absolute">
    <xdr:from>
      <xdr:col>3</xdr:col>
      <xdr:colOff>443609</xdr:colOff>
      <xdr:row>4</xdr:row>
      <xdr:rowOff>550</xdr:rowOff>
    </xdr:from>
    <xdr:to>
      <xdr:col>4</xdr:col>
      <xdr:colOff>373719</xdr:colOff>
      <xdr:row>5</xdr:row>
      <xdr:rowOff>4853</xdr:rowOff>
    </xdr:to>
    <xdr:sp macro="" textlink="'Pivot Report'!A10">
      <xdr:nvSpPr>
        <xdr:cNvPr id="36" name="TextBox 35">
          <a:extLst>
            <a:ext uri="{FF2B5EF4-FFF2-40B4-BE49-F238E27FC236}">
              <a16:creationId xmlns:a16="http://schemas.microsoft.com/office/drawing/2014/main" id="{B321DC32-8805-5A53-9B75-B04D86E4EA41}"/>
            </a:ext>
          </a:extLst>
        </xdr:cNvPr>
        <xdr:cNvSpPr txBox="1"/>
      </xdr:nvSpPr>
      <xdr:spPr>
        <a:xfrm>
          <a:off x="2278233" y="733849"/>
          <a:ext cx="400900" cy="19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5D0B9D3-6BFF-4D32-B84C-07840874BC0B}" type="TxLink">
            <a:rPr lang="en-US" sz="1100" b="0" i="0" u="none" strike="noStrike">
              <a:solidFill>
                <a:srgbClr val="000000"/>
              </a:solidFill>
              <a:latin typeface="Calibri"/>
              <a:ea typeface="Calibri"/>
              <a:cs typeface="Calibri"/>
            </a:rPr>
            <a:pPr algn="ctr"/>
            <a:t>35.58</a:t>
          </a:fld>
          <a:endParaRPr lang="en-IN" sz="1100" b="1">
            <a:solidFill>
              <a:schemeClr val="dk1"/>
            </a:solidFill>
          </a:endParaRPr>
        </a:p>
      </xdr:txBody>
    </xdr:sp>
    <xdr:clientData/>
  </xdr:twoCellAnchor>
  <xdr:twoCellAnchor editAs="absolute">
    <xdr:from>
      <xdr:col>5</xdr:col>
      <xdr:colOff>482437</xdr:colOff>
      <xdr:row>4</xdr:row>
      <xdr:rowOff>550</xdr:rowOff>
    </xdr:from>
    <xdr:to>
      <xdr:col>6</xdr:col>
      <xdr:colOff>271795</xdr:colOff>
      <xdr:row>5</xdr:row>
      <xdr:rowOff>4853</xdr:rowOff>
    </xdr:to>
    <xdr:sp macro="" textlink="'Pivot Report'!A16">
      <xdr:nvSpPr>
        <xdr:cNvPr id="38" name="TextBox 37">
          <a:extLst>
            <a:ext uri="{FF2B5EF4-FFF2-40B4-BE49-F238E27FC236}">
              <a16:creationId xmlns:a16="http://schemas.microsoft.com/office/drawing/2014/main" id="{A25A4145-39C7-B0BC-6A57-19061E996616}"/>
            </a:ext>
          </a:extLst>
        </xdr:cNvPr>
        <xdr:cNvSpPr txBox="1"/>
      </xdr:nvSpPr>
      <xdr:spPr>
        <a:xfrm>
          <a:off x="3399392" y="733849"/>
          <a:ext cx="400900" cy="19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ED6152F-6A2D-4040-9806-66549A649A1C}" type="TxLink">
            <a:rPr lang="en-US" sz="1100" b="0" i="0" u="none" strike="noStrike">
              <a:solidFill>
                <a:srgbClr val="000000"/>
              </a:solidFill>
              <a:latin typeface="Calibri"/>
              <a:ea typeface="Calibri"/>
              <a:cs typeface="Calibri"/>
            </a:rPr>
            <a:pPr algn="ctr"/>
            <a:t>5.18</a:t>
          </a:fld>
          <a:endParaRPr lang="en-IN" sz="1100" b="1">
            <a:solidFill>
              <a:schemeClr val="dk1"/>
            </a:solidFill>
          </a:endParaRPr>
        </a:p>
      </xdr:txBody>
    </xdr:sp>
    <xdr:clientData/>
  </xdr:twoCellAnchor>
  <xdr:twoCellAnchor editAs="absolute">
    <xdr:from>
      <xdr:col>5</xdr:col>
      <xdr:colOff>161749</xdr:colOff>
      <xdr:row>4</xdr:row>
      <xdr:rowOff>167489</xdr:rowOff>
    </xdr:from>
    <xdr:to>
      <xdr:col>7</xdr:col>
      <xdr:colOff>62738</xdr:colOff>
      <xdr:row>6</xdr:row>
      <xdr:rowOff>15088</xdr:rowOff>
    </xdr:to>
    <xdr:sp macro="" textlink="">
      <xdr:nvSpPr>
        <xdr:cNvPr id="39" name="TextBox 38">
          <a:extLst>
            <a:ext uri="{FF2B5EF4-FFF2-40B4-BE49-F238E27FC236}">
              <a16:creationId xmlns:a16="http://schemas.microsoft.com/office/drawing/2014/main" id="{7F66EECF-4E32-9AC2-0AB4-F7752D53A56B}"/>
            </a:ext>
          </a:extLst>
        </xdr:cNvPr>
        <xdr:cNvSpPr txBox="1"/>
      </xdr:nvSpPr>
      <xdr:spPr>
        <a:xfrm>
          <a:off x="3075278" y="907077"/>
          <a:ext cx="1122431" cy="21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dk1"/>
              </a:solidFill>
            </a:rPr>
            <a:t>Patient</a:t>
          </a:r>
          <a:r>
            <a:rPr lang="en-IN" sz="800" b="1" baseline="0">
              <a:solidFill>
                <a:schemeClr val="dk1"/>
              </a:solidFill>
            </a:rPr>
            <a:t> Satisfaction Score</a:t>
          </a:r>
          <a:endParaRPr lang="en-IN" sz="800" b="1">
            <a:solidFill>
              <a:schemeClr val="dk1"/>
            </a:solidFill>
          </a:endParaRPr>
        </a:p>
      </xdr:txBody>
    </xdr:sp>
    <xdr:clientData/>
  </xdr:twoCellAnchor>
  <xdr:twoCellAnchor editAs="oneCell">
    <xdr:from>
      <xdr:col>4</xdr:col>
      <xdr:colOff>496050</xdr:colOff>
      <xdr:row>3</xdr:row>
      <xdr:rowOff>131667</xdr:rowOff>
    </xdr:from>
    <xdr:to>
      <xdr:col>5</xdr:col>
      <xdr:colOff>82509</xdr:colOff>
      <xdr:row>4</xdr:row>
      <xdr:rowOff>43682</xdr:rowOff>
    </xdr:to>
    <xdr:pic>
      <xdr:nvPicPr>
        <xdr:cNvPr id="45" name="Graphic 44" descr="Hourglass Finished with solid fill">
          <a:extLst>
            <a:ext uri="{FF2B5EF4-FFF2-40B4-BE49-F238E27FC236}">
              <a16:creationId xmlns:a16="http://schemas.microsoft.com/office/drawing/2014/main" id="{F50C02AA-C9F2-6DA6-44F1-75DE3A9A1F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a:off x="2801464" y="684966"/>
          <a:ext cx="198000" cy="96448"/>
        </a:xfrm>
        <a:prstGeom prst="rect">
          <a:avLst/>
        </a:prstGeom>
      </xdr:spPr>
    </xdr:pic>
    <xdr:clientData/>
  </xdr:twoCellAnchor>
  <xdr:twoCellAnchor editAs="oneCell">
    <xdr:from>
      <xdr:col>6</xdr:col>
      <xdr:colOff>364013</xdr:colOff>
      <xdr:row>3</xdr:row>
      <xdr:rowOff>98501</xdr:rowOff>
    </xdr:from>
    <xdr:to>
      <xdr:col>6</xdr:col>
      <xdr:colOff>562013</xdr:colOff>
      <xdr:row>4</xdr:row>
      <xdr:rowOff>43226</xdr:rowOff>
    </xdr:to>
    <xdr:pic>
      <xdr:nvPicPr>
        <xdr:cNvPr id="47" name="Graphic 46" descr="Customer review with solid fill">
          <a:extLst>
            <a:ext uri="{FF2B5EF4-FFF2-40B4-BE49-F238E27FC236}">
              <a16:creationId xmlns:a16="http://schemas.microsoft.com/office/drawing/2014/main" id="{72F5AD7E-2197-37C1-CF05-9D0C0AB8936B}"/>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b="50036"/>
        <a:stretch>
          <a:fillRect/>
        </a:stretch>
      </xdr:blipFill>
      <xdr:spPr>
        <a:xfrm>
          <a:off x="3892510" y="651800"/>
          <a:ext cx="198000" cy="129158"/>
        </a:xfrm>
        <a:prstGeom prst="rect">
          <a:avLst/>
        </a:prstGeom>
      </xdr:spPr>
    </xdr:pic>
    <xdr:clientData/>
  </xdr:twoCellAnchor>
  <xdr:twoCellAnchor editAs="oneCell">
    <xdr:from>
      <xdr:col>2</xdr:col>
      <xdr:colOff>431962</xdr:colOff>
      <xdr:row>3</xdr:row>
      <xdr:rowOff>92217</xdr:rowOff>
    </xdr:from>
    <xdr:to>
      <xdr:col>3</xdr:col>
      <xdr:colOff>19415</xdr:colOff>
      <xdr:row>4</xdr:row>
      <xdr:rowOff>97071</xdr:rowOff>
    </xdr:to>
    <xdr:pic>
      <xdr:nvPicPr>
        <xdr:cNvPr id="49" name="Graphic 48" descr="Male profile with solid fill">
          <a:extLst>
            <a:ext uri="{FF2B5EF4-FFF2-40B4-BE49-F238E27FC236}">
              <a16:creationId xmlns:a16="http://schemas.microsoft.com/office/drawing/2014/main" id="{CEE2D2DB-87D9-FE79-7161-14CD78570A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55045" y="645516"/>
          <a:ext cx="198994" cy="189287"/>
        </a:xfrm>
        <a:prstGeom prst="rect">
          <a:avLst/>
        </a:prstGeom>
      </xdr:spPr>
    </xdr:pic>
    <xdr:clientData/>
  </xdr:twoCellAnchor>
  <xdr:twoCellAnchor editAs="oneCell">
    <xdr:from>
      <xdr:col>0</xdr:col>
      <xdr:colOff>55139</xdr:colOff>
      <xdr:row>3</xdr:row>
      <xdr:rowOff>125400</xdr:rowOff>
    </xdr:from>
    <xdr:to>
      <xdr:col>1</xdr:col>
      <xdr:colOff>129539</xdr:colOff>
      <xdr:row>15</xdr:row>
      <xdr:rowOff>131034</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B81F886E-24DB-4FC1-A7CA-F53E3F249F4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5139" y="681991"/>
              <a:ext cx="684000" cy="22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63353</xdr:colOff>
      <xdr:row>5</xdr:row>
      <xdr:rowOff>78441</xdr:rowOff>
    </xdr:from>
    <xdr:to>
      <xdr:col>3</xdr:col>
      <xdr:colOff>75409</xdr:colOff>
      <xdr:row>7</xdr:row>
      <xdr:rowOff>22412</xdr:rowOff>
    </xdr:to>
    <xdr:graphicFrame macro="">
      <xdr:nvGraphicFramePr>
        <xdr:cNvPr id="51" name="Chart 50">
          <a:hlinkClick xmlns:r="http://schemas.openxmlformats.org/officeDocument/2006/relationships" r:id="rId8"/>
          <a:extLst>
            <a:ext uri="{FF2B5EF4-FFF2-40B4-BE49-F238E27FC236}">
              <a16:creationId xmlns:a16="http://schemas.microsoft.com/office/drawing/2014/main" id="{EEE77A55-0D08-4156-AF7F-4336B527A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118598</xdr:colOff>
      <xdr:row>6</xdr:row>
      <xdr:rowOff>5603</xdr:rowOff>
    </xdr:from>
    <xdr:to>
      <xdr:col>5</xdr:col>
      <xdr:colOff>97843</xdr:colOff>
      <xdr:row>7</xdr:row>
      <xdr:rowOff>20428</xdr:rowOff>
    </xdr:to>
    <xdr:graphicFrame macro="">
      <xdr:nvGraphicFramePr>
        <xdr:cNvPr id="22" name="Chart 21">
          <a:hlinkClick xmlns:r="http://schemas.openxmlformats.org/officeDocument/2006/relationships" r:id="rId8"/>
          <a:extLst>
            <a:ext uri="{FF2B5EF4-FFF2-40B4-BE49-F238E27FC236}">
              <a16:creationId xmlns:a16="http://schemas.microsoft.com/office/drawing/2014/main" id="{958789C0-281E-45D4-9CA9-C9551547F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152400</xdr:colOff>
      <xdr:row>5</xdr:row>
      <xdr:rowOff>87406</xdr:rowOff>
    </xdr:from>
    <xdr:to>
      <xdr:col>7</xdr:col>
      <xdr:colOff>30480</xdr:colOff>
      <xdr:row>7</xdr:row>
      <xdr:rowOff>21365</xdr:rowOff>
    </xdr:to>
    <xdr:graphicFrame macro="">
      <xdr:nvGraphicFramePr>
        <xdr:cNvPr id="23" name="Chart 22">
          <a:hlinkClick xmlns:r="http://schemas.openxmlformats.org/officeDocument/2006/relationships" r:id="rId8"/>
          <a:extLst>
            <a:ext uri="{FF2B5EF4-FFF2-40B4-BE49-F238E27FC236}">
              <a16:creationId xmlns:a16="http://schemas.microsoft.com/office/drawing/2014/main" id="{B7527BBA-608F-40AA-9E80-BE7721A19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196550</xdr:colOff>
          <xdr:row>7</xdr:row>
          <xdr:rowOff>28391</xdr:rowOff>
        </xdr:from>
        <xdr:to>
          <xdr:col>7</xdr:col>
          <xdr:colOff>50425</xdr:colOff>
          <xdr:row>9</xdr:row>
          <xdr:rowOff>88805</xdr:rowOff>
        </xdr:to>
        <xdr:pic>
          <xdr:nvPicPr>
            <xdr:cNvPr id="32" name="Picture 31">
              <a:extLst>
                <a:ext uri="{FF2B5EF4-FFF2-40B4-BE49-F238E27FC236}">
                  <a16:creationId xmlns:a16="http://schemas.microsoft.com/office/drawing/2014/main" id="{8F416956-76D0-57CF-D8A7-2EE2A48C13C3}"/>
                </a:ext>
              </a:extLst>
            </xdr:cNvPr>
            <xdr:cNvPicPr>
              <a:picLocks noChangeAspect="1" noChangeArrowheads="1"/>
              <a:extLst>
                <a:ext uri="{84589F7E-364E-4C9E-8A38-B11213B215E9}">
                  <a14:cameraTool cellRange="'Pivot Report'!$A$49:$D$51" spid="_x0000_s2171"/>
                </a:ext>
              </a:extLst>
            </xdr:cNvPicPr>
          </xdr:nvPicPr>
          <xdr:blipFill>
            <a:blip xmlns:r="http://schemas.openxmlformats.org/officeDocument/2006/relationships" r:embed="rId12"/>
            <a:srcRect/>
            <a:stretch>
              <a:fillRect/>
            </a:stretch>
          </xdr:blipFill>
          <xdr:spPr bwMode="auto">
            <a:xfrm>
              <a:off x="807271" y="1322670"/>
              <a:ext cx="3378125" cy="430209"/>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203200</xdr:colOff>
      <xdr:row>9</xdr:row>
      <xdr:rowOff>132080</xdr:rowOff>
    </xdr:from>
    <xdr:to>
      <xdr:col>7</xdr:col>
      <xdr:colOff>15240</xdr:colOff>
      <xdr:row>15</xdr:row>
      <xdr:rowOff>162560</xdr:rowOff>
    </xdr:to>
    <xdr:graphicFrame macro="">
      <xdr:nvGraphicFramePr>
        <xdr:cNvPr id="40" name="Chart 39">
          <a:extLst>
            <a:ext uri="{FF2B5EF4-FFF2-40B4-BE49-F238E27FC236}">
              <a16:creationId xmlns:a16="http://schemas.microsoft.com/office/drawing/2014/main" id="{2C6C97E0-6859-4100-9B64-23C6C1BE4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3</xdr:col>
      <xdr:colOff>9674</xdr:colOff>
      <xdr:row>15</xdr:row>
      <xdr:rowOff>19577</xdr:rowOff>
    </xdr:from>
    <xdr:to>
      <xdr:col>5</xdr:col>
      <xdr:colOff>497840</xdr:colOff>
      <xdr:row>15</xdr:row>
      <xdr:rowOff>144182</xdr:rowOff>
    </xdr:to>
    <xdr:sp macro="" textlink="">
      <xdr:nvSpPr>
        <xdr:cNvPr id="41" name="TextBox 40">
          <a:extLst>
            <a:ext uri="{FF2B5EF4-FFF2-40B4-BE49-F238E27FC236}">
              <a16:creationId xmlns:a16="http://schemas.microsoft.com/office/drawing/2014/main" id="{CA3B5173-32F9-A6B8-A8DF-8DE7AAF91F4F}"/>
            </a:ext>
          </a:extLst>
        </xdr:cNvPr>
        <xdr:cNvSpPr txBox="1"/>
      </xdr:nvSpPr>
      <xdr:spPr>
        <a:xfrm>
          <a:off x="1841836" y="2793033"/>
          <a:ext cx="1569533" cy="124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dk1"/>
              </a:solidFill>
            </a:rPr>
            <a:t>No</a:t>
          </a:r>
          <a:r>
            <a:rPr lang="en-IN" sz="900" b="1" baseline="0">
              <a:solidFill>
                <a:schemeClr val="dk1"/>
              </a:solidFill>
            </a:rPr>
            <a:t> .Of Patient By Age Group</a:t>
          </a:r>
          <a:endParaRPr lang="en-IN" sz="900" b="1">
            <a:solidFill>
              <a:schemeClr val="dk1"/>
            </a:solidFill>
          </a:endParaRPr>
        </a:p>
      </xdr:txBody>
    </xdr:sp>
    <xdr:clientData/>
  </xdr:twoCellAnchor>
  <xdr:twoCellAnchor>
    <xdr:from>
      <xdr:col>6</xdr:col>
      <xdr:colOff>308162</xdr:colOff>
      <xdr:row>0</xdr:row>
      <xdr:rowOff>0</xdr:rowOff>
    </xdr:from>
    <xdr:to>
      <xdr:col>9</xdr:col>
      <xdr:colOff>336176</xdr:colOff>
      <xdr:row>6</xdr:row>
      <xdr:rowOff>100853</xdr:rowOff>
    </xdr:to>
    <xdr:graphicFrame macro="">
      <xdr:nvGraphicFramePr>
        <xdr:cNvPr id="12" name="Chart 11">
          <a:extLst>
            <a:ext uri="{FF2B5EF4-FFF2-40B4-BE49-F238E27FC236}">
              <a16:creationId xmlns:a16="http://schemas.microsoft.com/office/drawing/2014/main" id="{5B710C83-31A7-4FD9-ABA6-82BFD7B11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167602</xdr:colOff>
      <xdr:row>6</xdr:row>
      <xdr:rowOff>16888</xdr:rowOff>
    </xdr:from>
    <xdr:to>
      <xdr:col>9</xdr:col>
      <xdr:colOff>67236</xdr:colOff>
      <xdr:row>6</xdr:row>
      <xdr:rowOff>156883</xdr:rowOff>
    </xdr:to>
    <xdr:sp macro="" textlink="">
      <xdr:nvSpPr>
        <xdr:cNvPr id="13" name="TextBox 12">
          <a:extLst>
            <a:ext uri="{FF2B5EF4-FFF2-40B4-BE49-F238E27FC236}">
              <a16:creationId xmlns:a16="http://schemas.microsoft.com/office/drawing/2014/main" id="{82BCB924-2796-88E4-173C-DB7ADBDDD390}"/>
            </a:ext>
          </a:extLst>
        </xdr:cNvPr>
        <xdr:cNvSpPr txBox="1"/>
      </xdr:nvSpPr>
      <xdr:spPr>
        <a:xfrm>
          <a:off x="4302573" y="1126270"/>
          <a:ext cx="1121075" cy="13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baseline="0">
              <a:solidFill>
                <a:schemeClr val="dk1"/>
              </a:solidFill>
            </a:rPr>
            <a:t>Patient Attend Status</a:t>
          </a:r>
          <a:endParaRPr lang="en-IN" sz="900" b="1">
            <a:solidFill>
              <a:schemeClr val="dk1"/>
            </a:solidFill>
          </a:endParaRPr>
        </a:p>
      </xdr:txBody>
    </xdr:sp>
    <xdr:clientData/>
  </xdr:twoCellAnchor>
  <xdr:twoCellAnchor>
    <xdr:from>
      <xdr:col>8</xdr:col>
      <xdr:colOff>565897</xdr:colOff>
      <xdr:row>0</xdr:row>
      <xdr:rowOff>0</xdr:rowOff>
    </xdr:from>
    <xdr:to>
      <xdr:col>12</xdr:col>
      <xdr:colOff>28015</xdr:colOff>
      <xdr:row>7</xdr:row>
      <xdr:rowOff>109405</xdr:rowOff>
    </xdr:to>
    <xdr:graphicFrame macro="">
      <xdr:nvGraphicFramePr>
        <xdr:cNvPr id="14" name="Chart 13">
          <a:extLst>
            <a:ext uri="{FF2B5EF4-FFF2-40B4-BE49-F238E27FC236}">
              <a16:creationId xmlns:a16="http://schemas.microsoft.com/office/drawing/2014/main" id="{7530C213-E350-42B9-956C-781327C8A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269576</xdr:colOff>
      <xdr:row>6</xdr:row>
      <xdr:rowOff>1199</xdr:rowOff>
    </xdr:from>
    <xdr:to>
      <xdr:col>11</xdr:col>
      <xdr:colOff>169210</xdr:colOff>
      <xdr:row>6</xdr:row>
      <xdr:rowOff>141194</xdr:rowOff>
    </xdr:to>
    <xdr:sp macro="" textlink="">
      <xdr:nvSpPr>
        <xdr:cNvPr id="15" name="TextBox 14">
          <a:extLst>
            <a:ext uri="{FF2B5EF4-FFF2-40B4-BE49-F238E27FC236}">
              <a16:creationId xmlns:a16="http://schemas.microsoft.com/office/drawing/2014/main" id="{0111DDDF-74E9-6212-D4EC-6E2693C0110D}"/>
            </a:ext>
          </a:extLst>
        </xdr:cNvPr>
        <xdr:cNvSpPr txBox="1"/>
      </xdr:nvSpPr>
      <xdr:spPr>
        <a:xfrm>
          <a:off x="5625988" y="1110581"/>
          <a:ext cx="1121075" cy="13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baseline="0">
              <a:solidFill>
                <a:schemeClr val="dk1"/>
              </a:solidFill>
            </a:rPr>
            <a:t>Gender Wise Analysis</a:t>
          </a:r>
          <a:endParaRPr lang="en-IN" sz="900" b="1">
            <a:solidFill>
              <a:schemeClr val="dk1"/>
            </a:solidFill>
          </a:endParaRPr>
        </a:p>
      </xdr:txBody>
    </xdr:sp>
    <xdr:clientData/>
  </xdr:twoCellAnchor>
  <xdr:twoCellAnchor>
    <xdr:from>
      <xdr:col>6</xdr:col>
      <xdr:colOff>588307</xdr:colOff>
      <xdr:row>7</xdr:row>
      <xdr:rowOff>72840</xdr:rowOff>
    </xdr:from>
    <xdr:to>
      <xdr:col>11</xdr:col>
      <xdr:colOff>498659</xdr:colOff>
      <xdr:row>15</xdr:row>
      <xdr:rowOff>118164</xdr:rowOff>
    </xdr:to>
    <xdr:graphicFrame macro="">
      <xdr:nvGraphicFramePr>
        <xdr:cNvPr id="18" name="Chart 17">
          <a:extLst>
            <a:ext uri="{FF2B5EF4-FFF2-40B4-BE49-F238E27FC236}">
              <a16:creationId xmlns:a16="http://schemas.microsoft.com/office/drawing/2014/main" id="{8558959B-0BD3-41BE-B6EF-DE08CF275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128456</xdr:colOff>
      <xdr:row>14</xdr:row>
      <xdr:rowOff>156883</xdr:rowOff>
    </xdr:from>
    <xdr:to>
      <xdr:col>11</xdr:col>
      <xdr:colOff>302560</xdr:colOff>
      <xdr:row>15</xdr:row>
      <xdr:rowOff>117662</xdr:rowOff>
    </xdr:to>
    <xdr:sp macro="" textlink="">
      <xdr:nvSpPr>
        <xdr:cNvPr id="19" name="TextBox 18">
          <a:extLst>
            <a:ext uri="{FF2B5EF4-FFF2-40B4-BE49-F238E27FC236}">
              <a16:creationId xmlns:a16="http://schemas.microsoft.com/office/drawing/2014/main" id="{A144AE8B-87CB-05B3-18AE-E6C069F160AE}"/>
            </a:ext>
          </a:extLst>
        </xdr:cNvPr>
        <xdr:cNvSpPr txBox="1"/>
      </xdr:nvSpPr>
      <xdr:spPr>
        <a:xfrm>
          <a:off x="4263427" y="2745442"/>
          <a:ext cx="2616986" cy="145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dk1"/>
              </a:solidFill>
            </a:rPr>
            <a:t>No</a:t>
          </a:r>
          <a:r>
            <a:rPr lang="en-IN" sz="900" b="1" baseline="0">
              <a:solidFill>
                <a:schemeClr val="dk1"/>
              </a:solidFill>
            </a:rPr>
            <a:t> .Of Patient By Departmet Referral</a:t>
          </a:r>
          <a:endParaRPr lang="en-IN" sz="900" b="1">
            <a:solidFill>
              <a:schemeClr val="dk1"/>
            </a:solidFill>
          </a:endParaRPr>
        </a:p>
      </xdr:txBody>
    </xdr:sp>
    <xdr:clientData/>
  </xdr:twoCellAnchor>
  <xdr:twoCellAnchor editAs="oneCell">
    <xdr:from>
      <xdr:col>5</xdr:col>
      <xdr:colOff>281170</xdr:colOff>
      <xdr:row>1</xdr:row>
      <xdr:rowOff>64700</xdr:rowOff>
    </xdr:from>
    <xdr:to>
      <xdr:col>7</xdr:col>
      <xdr:colOff>33970</xdr:colOff>
      <xdr:row>3</xdr:row>
      <xdr:rowOff>26504</xdr:rowOff>
    </xdr:to>
    <mc:AlternateContent xmlns:mc="http://schemas.openxmlformats.org/markup-compatibility/2006" xmlns:a14="http://schemas.microsoft.com/office/drawing/2010/main">
      <mc:Choice Requires="a14">
        <xdr:graphicFrame macro="">
          <xdr:nvGraphicFramePr>
            <xdr:cNvPr id="25" name="Date (Year) 1">
              <a:extLst>
                <a:ext uri="{FF2B5EF4-FFF2-40B4-BE49-F238E27FC236}">
                  <a16:creationId xmlns:a16="http://schemas.microsoft.com/office/drawing/2014/main" id="{8D0AA2FC-7931-4B56-AD24-7F9DD4C939F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194699" y="249597"/>
              <a:ext cx="974242" cy="331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201221</xdr:colOff>
      <xdr:row>0</xdr:row>
      <xdr:rowOff>112138</xdr:rowOff>
    </xdr:from>
    <xdr:to>
      <xdr:col>7</xdr:col>
      <xdr:colOff>26494</xdr:colOff>
      <xdr:row>1</xdr:row>
      <xdr:rowOff>144170</xdr:rowOff>
    </xdr:to>
    <xdr:sp macro="" textlink="">
      <xdr:nvSpPr>
        <xdr:cNvPr id="29" name="TextBox 28">
          <a:extLst>
            <a:ext uri="{FF2B5EF4-FFF2-40B4-BE49-F238E27FC236}">
              <a16:creationId xmlns:a16="http://schemas.microsoft.com/office/drawing/2014/main" id="{F9B3AAF7-B82F-84A5-94BA-1ACE05C09E75}"/>
            </a:ext>
          </a:extLst>
        </xdr:cNvPr>
        <xdr:cNvSpPr txBox="1"/>
      </xdr:nvSpPr>
      <xdr:spPr>
        <a:xfrm>
          <a:off x="3114750" y="112138"/>
          <a:ext cx="1046715" cy="216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dk1"/>
              </a:solidFill>
            </a:rPr>
            <a:t>Select</a:t>
          </a:r>
          <a:r>
            <a:rPr lang="en-IN" sz="900" b="1" baseline="0">
              <a:solidFill>
                <a:schemeClr val="dk1"/>
              </a:solidFill>
            </a:rPr>
            <a:t> Year</a:t>
          </a:r>
          <a:endParaRPr lang="en-IN" sz="900" b="1">
            <a:solidFill>
              <a:schemeClr val="dk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xdr:colOff>
      <xdr:row>4</xdr:row>
      <xdr:rowOff>7620</xdr:rowOff>
    </xdr:from>
    <xdr:to>
      <xdr:col>15</xdr:col>
      <xdr:colOff>15240</xdr:colOff>
      <xdr:row>20</xdr:row>
      <xdr:rowOff>167640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7E6E3C1C-E481-4AC8-B899-9788D30C7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457200</xdr:colOff>
      <xdr:row>4</xdr:row>
      <xdr:rowOff>30480</xdr:rowOff>
    </xdr:from>
    <xdr:to>
      <xdr:col>34</xdr:col>
      <xdr:colOff>228600</xdr:colOff>
      <xdr:row>20</xdr:row>
      <xdr:rowOff>160020</xdr:rowOff>
    </xdr:to>
    <xdr:graphicFrame macro="">
      <xdr:nvGraphicFramePr>
        <xdr:cNvPr id="4" name="Chart 3">
          <a:extLst>
            <a:ext uri="{FF2B5EF4-FFF2-40B4-BE49-F238E27FC236}">
              <a16:creationId xmlns:a16="http://schemas.microsoft.com/office/drawing/2014/main" id="{2F22AF5A-7CB6-4AE6-9957-B866C4D29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518160</xdr:colOff>
      <xdr:row>4</xdr:row>
      <xdr:rowOff>53340</xdr:rowOff>
    </xdr:from>
    <xdr:to>
      <xdr:col>53</xdr:col>
      <xdr:colOff>114300</xdr:colOff>
      <xdr:row>20</xdr:row>
      <xdr:rowOff>167640</xdr:rowOff>
    </xdr:to>
    <xdr:graphicFrame macro="">
      <xdr:nvGraphicFramePr>
        <xdr:cNvPr id="5" name="Chart 4">
          <a:extLst>
            <a:ext uri="{FF2B5EF4-FFF2-40B4-BE49-F238E27FC236}">
              <a16:creationId xmlns:a16="http://schemas.microsoft.com/office/drawing/2014/main" id="{A078B474-63A2-49E0-BBEC-AC62FE33F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21</xdr:row>
      <xdr:rowOff>121920</xdr:rowOff>
    </xdr:from>
    <xdr:to>
      <xdr:col>12</xdr:col>
      <xdr:colOff>144780</xdr:colOff>
      <xdr:row>23</xdr:row>
      <xdr:rowOff>7620</xdr:rowOff>
    </xdr:to>
    <xdr:sp macro="" textlink="">
      <xdr:nvSpPr>
        <xdr:cNvPr id="6" name="TextBox 5">
          <a:extLst>
            <a:ext uri="{FF2B5EF4-FFF2-40B4-BE49-F238E27FC236}">
              <a16:creationId xmlns:a16="http://schemas.microsoft.com/office/drawing/2014/main" id="{9B089984-6C49-2827-4290-D5A0769C8686}"/>
            </a:ext>
          </a:extLst>
        </xdr:cNvPr>
        <xdr:cNvSpPr txBox="1"/>
      </xdr:nvSpPr>
      <xdr:spPr>
        <a:xfrm>
          <a:off x="3672840" y="3962400"/>
          <a:ext cx="37871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Detailed Explanation Of ER For Daily</a:t>
          </a:r>
          <a:r>
            <a:rPr lang="en-IN" sz="1200" b="1" baseline="0"/>
            <a:t> Nubber Of Patient</a:t>
          </a:r>
          <a:endParaRPr lang="en-IN" sz="1200" b="1"/>
        </a:p>
      </xdr:txBody>
    </xdr:sp>
    <xdr:clientData/>
  </xdr:twoCellAnchor>
  <xdr:twoCellAnchor>
    <xdr:from>
      <xdr:col>23</xdr:col>
      <xdr:colOff>304800</xdr:colOff>
      <xdr:row>21</xdr:row>
      <xdr:rowOff>114300</xdr:rowOff>
    </xdr:from>
    <xdr:to>
      <xdr:col>29</xdr:col>
      <xdr:colOff>434340</xdr:colOff>
      <xdr:row>23</xdr:row>
      <xdr:rowOff>0</xdr:rowOff>
    </xdr:to>
    <xdr:sp macro="" textlink="">
      <xdr:nvSpPr>
        <xdr:cNvPr id="7" name="TextBox 6">
          <a:extLst>
            <a:ext uri="{FF2B5EF4-FFF2-40B4-BE49-F238E27FC236}">
              <a16:creationId xmlns:a16="http://schemas.microsoft.com/office/drawing/2014/main" id="{3712486D-E0CD-1B98-8AE2-65A2138F5E12}"/>
            </a:ext>
          </a:extLst>
        </xdr:cNvPr>
        <xdr:cNvSpPr txBox="1"/>
      </xdr:nvSpPr>
      <xdr:spPr>
        <a:xfrm>
          <a:off x="14325600" y="3954780"/>
          <a:ext cx="37871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Detailed Explanation Of ER For Daily</a:t>
          </a:r>
          <a:r>
            <a:rPr lang="en-IN" sz="1200" b="1" baseline="0"/>
            <a:t> Average Wait Time</a:t>
          </a:r>
          <a:endParaRPr lang="en-IN" sz="1200" b="1"/>
        </a:p>
      </xdr:txBody>
    </xdr:sp>
    <xdr:clientData/>
  </xdr:twoCellAnchor>
  <xdr:twoCellAnchor>
    <xdr:from>
      <xdr:col>42</xdr:col>
      <xdr:colOff>228600</xdr:colOff>
      <xdr:row>21</xdr:row>
      <xdr:rowOff>121920</xdr:rowOff>
    </xdr:from>
    <xdr:to>
      <xdr:col>49</xdr:col>
      <xdr:colOff>411480</xdr:colOff>
      <xdr:row>23</xdr:row>
      <xdr:rowOff>7620</xdr:rowOff>
    </xdr:to>
    <xdr:sp macro="" textlink="">
      <xdr:nvSpPr>
        <xdr:cNvPr id="8" name="TextBox 7">
          <a:extLst>
            <a:ext uri="{FF2B5EF4-FFF2-40B4-BE49-F238E27FC236}">
              <a16:creationId xmlns:a16="http://schemas.microsoft.com/office/drawing/2014/main" id="{5E31CA95-67B9-F9B2-ADDD-8728A0D705B2}"/>
            </a:ext>
          </a:extLst>
        </xdr:cNvPr>
        <xdr:cNvSpPr txBox="1"/>
      </xdr:nvSpPr>
      <xdr:spPr>
        <a:xfrm>
          <a:off x="25831800" y="3962400"/>
          <a:ext cx="44500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Detailed Explanation Of ER For Daily</a:t>
          </a:r>
          <a:r>
            <a:rPr lang="en-IN" sz="1200" b="1" baseline="0"/>
            <a:t> Patient Satisfaction Score</a:t>
          </a:r>
          <a:endParaRPr lang="en-IN" sz="1200" b="1"/>
        </a:p>
      </xdr:txBody>
    </xdr:sp>
    <xdr:clientData/>
  </xdr:twoCellAnchor>
  <xdr:twoCellAnchor editAs="oneCell">
    <xdr:from>
      <xdr:col>1</xdr:col>
      <xdr:colOff>30480</xdr:colOff>
      <xdr:row>3</xdr:row>
      <xdr:rowOff>91440</xdr:rowOff>
    </xdr:from>
    <xdr:to>
      <xdr:col>1</xdr:col>
      <xdr:colOff>533400</xdr:colOff>
      <xdr:row>6</xdr:row>
      <xdr:rowOff>7620</xdr:rowOff>
    </xdr:to>
    <xdr:pic>
      <xdr:nvPicPr>
        <xdr:cNvPr id="10" name="Graphic 9" descr="Home with solid fill">
          <a:hlinkClick xmlns:r="http://schemas.openxmlformats.org/officeDocument/2006/relationships" r:id="rId5"/>
          <a:extLst>
            <a:ext uri="{FF2B5EF4-FFF2-40B4-BE49-F238E27FC236}">
              <a16:creationId xmlns:a16="http://schemas.microsoft.com/office/drawing/2014/main" id="{B9983066-5261-C030-7602-7179575BBD5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0080" y="640080"/>
          <a:ext cx="502920" cy="464820"/>
        </a:xfrm>
        <a:prstGeom prst="rect">
          <a:avLst/>
        </a:prstGeom>
      </xdr:spPr>
    </xdr:pic>
    <xdr:clientData/>
  </xdr:twoCellAnchor>
  <xdr:twoCellAnchor editAs="oneCell">
    <xdr:from>
      <xdr:col>37</xdr:col>
      <xdr:colOff>7620</xdr:colOff>
      <xdr:row>3</xdr:row>
      <xdr:rowOff>30480</xdr:rowOff>
    </xdr:from>
    <xdr:to>
      <xdr:col>37</xdr:col>
      <xdr:colOff>510540</xdr:colOff>
      <xdr:row>5</xdr:row>
      <xdr:rowOff>129540</xdr:rowOff>
    </xdr:to>
    <xdr:pic>
      <xdr:nvPicPr>
        <xdr:cNvPr id="11" name="Graphic 10" descr="Home with solid fill">
          <a:hlinkClick xmlns:r="http://schemas.openxmlformats.org/officeDocument/2006/relationships" r:id="rId5"/>
          <a:extLst>
            <a:ext uri="{FF2B5EF4-FFF2-40B4-BE49-F238E27FC236}">
              <a16:creationId xmlns:a16="http://schemas.microsoft.com/office/drawing/2014/main" id="{47314CCD-4BE4-9859-2EA8-0AE7C723B4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562820" y="579120"/>
          <a:ext cx="502920" cy="464820"/>
        </a:xfrm>
        <a:prstGeom prst="rect">
          <a:avLst/>
        </a:prstGeom>
      </xdr:spPr>
    </xdr:pic>
    <xdr:clientData/>
  </xdr:twoCellAnchor>
  <xdr:twoCellAnchor editAs="oneCell">
    <xdr:from>
      <xdr:col>18</xdr:col>
      <xdr:colOff>22860</xdr:colOff>
      <xdr:row>3</xdr:row>
      <xdr:rowOff>45720</xdr:rowOff>
    </xdr:from>
    <xdr:to>
      <xdr:col>18</xdr:col>
      <xdr:colOff>426720</xdr:colOff>
      <xdr:row>5</xdr:row>
      <xdr:rowOff>68580</xdr:rowOff>
    </xdr:to>
    <xdr:pic>
      <xdr:nvPicPr>
        <xdr:cNvPr id="12" name="Graphic 11" descr="Home with solid fill">
          <a:hlinkClick xmlns:r="http://schemas.openxmlformats.org/officeDocument/2006/relationships" r:id="rId5"/>
          <a:extLst>
            <a:ext uri="{FF2B5EF4-FFF2-40B4-BE49-F238E27FC236}">
              <a16:creationId xmlns:a16="http://schemas.microsoft.com/office/drawing/2014/main" id="{D8325BDB-61DE-1D72-E546-DC6AFFE85A9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995660" y="594360"/>
          <a:ext cx="403860" cy="3886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3078706" createdVersion="5" refreshedVersion="8" minRefreshableVersion="3" recordCount="0" supportSubquery="1" supportAdvancedDrill="1" xr:uid="{743ACC14-A79A-4C00-9AE9-8962AFD4068D}">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3425929" createdVersion="5" refreshedVersion="8" minRefreshableVersion="3" recordCount="0" supportSubquery="1" supportAdvancedDrill="1" xr:uid="{0B5FB116-BE24-43F1-B1EC-28792004121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3425929" createdVersion="5" refreshedVersion="8" minRefreshableVersion="3" recordCount="0" supportSubquery="1" supportAdvancedDrill="1" xr:uid="{5AE61309-046F-49EB-B3A2-E11F735E804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3773145" createdVersion="5" refreshedVersion="8" minRefreshableVersion="3" recordCount="0" supportSubquery="1" supportAdvancedDrill="1" xr:uid="{6B14FB02-0A41-4226-8C8D-1CEF3D977E3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4236114" createdVersion="5" refreshedVersion="8" minRefreshableVersion="3" recordCount="0" supportSubquery="1" supportAdvancedDrill="1" xr:uid="{12FF0C72-F1FE-4194-8DA5-34B0690F9525}">
  <cacheSource type="external" connectionId="3"/>
  <cacheFields count="4">
    <cacheField name="[Calender_Table].[Date (Day)].[Date (Day)]" caption="Date (Day)" numFmtId="0" hierarchy="2" level="1">
      <sharedItems count="62">
        <s v="1-Jun"/>
        <s v="2-Jun"/>
        <s v="3-Jun"/>
        <s v="4-Jun"/>
        <s v="5-Jun"/>
        <s v="6-Jun"/>
        <s v="7-Jun"/>
        <s v="8-Jun"/>
        <s v="9-Jun"/>
        <s v="10-Jun"/>
        <s v="11-Jun"/>
        <s v="12-Jun"/>
        <s v="13-Jun"/>
        <s v="14-Jun"/>
        <s v="15-Jun"/>
        <s v="16-Jun"/>
        <s v="17-Jun"/>
        <s v="18-Jun"/>
        <s v="19-Jun"/>
        <s v="20-Jun"/>
        <s v="21-Jun"/>
        <s v="22-Jun"/>
        <s v="23-Jun"/>
        <s v="24-Jun"/>
        <s v="25-Jun"/>
        <s v="26-Jun"/>
        <s v="27-Jun"/>
        <s v="28-Jun"/>
        <s v="29-Jun"/>
        <s v="30-Jun"/>
        <s v="1-Apr"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4814815" createdVersion="5" refreshedVersion="8" minRefreshableVersion="3" recordCount="0" supportSubquery="1" supportAdvancedDrill="1" xr:uid="{44AD7CB6-4061-44A6-B694-B22C2F186715}">
  <cacheSource type="external" connectionId="3"/>
  <cacheFields count="4">
    <cacheField name="[Calender_Table].[Date (Day)].[Date (Day)]" caption="Date (Day)" numFmtId="0" hierarchy="2" level="1">
      <sharedItems count="62">
        <s v="1-Jun"/>
        <s v="2-Jun"/>
        <s v="3-Jun"/>
        <s v="4-Jun"/>
        <s v="5-Jun"/>
        <s v="6-Jun"/>
        <s v="7-Jun"/>
        <s v="8-Jun"/>
        <s v="9-Jun"/>
        <s v="10-Jun"/>
        <s v="11-Jun"/>
        <s v="12-Jun"/>
        <s v="13-Jun"/>
        <s v="14-Jun"/>
        <s v="15-Jun"/>
        <s v="16-Jun"/>
        <s v="17-Jun"/>
        <s v="18-Jun"/>
        <s v="19-Jun"/>
        <s v="20-Jun"/>
        <s v="21-Jun"/>
        <s v="22-Jun"/>
        <s v="23-Jun"/>
        <s v="24-Jun"/>
        <s v="25-Jun"/>
        <s v="26-Jun"/>
        <s v="27-Jun"/>
        <s v="28-Jun"/>
        <s v="29-Jun"/>
        <s v="30-Jun"/>
        <s v="1-Apr"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5277776" createdVersion="5" refreshedVersion="8" minRefreshableVersion="3" recordCount="0" supportSubquery="1" supportAdvancedDrill="1" xr:uid="{7281553C-3950-47C1-A729-DFF1D715131A}">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dmitted"/>
        <s v="Not Ad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5740738" createdVersion="5" refreshedVersion="8" minRefreshableVersion="3" recordCount="0" supportSubquery="1" supportAdvancedDrill="1" xr:uid="{739B90A2-4761-4601-8BFB-3E8ADC243AF8}">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6087962" createdVersion="5" refreshedVersion="8" minRefreshableVersion="3" recordCount="0" supportSubquery="1" supportAdvancedDrill="1" xr:uid="{AC6A239F-25AE-4713-8C89-317BA7356A6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6435185" createdVersion="5" refreshedVersion="8" minRefreshableVersion="3" recordCount="0" supportSubquery="1" supportAdvancedDrill="1" xr:uid="{1BC9A84B-0ED0-4504-B865-5A3A10C6908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6782408" createdVersion="5" refreshedVersion="8" minRefreshableVersion="3" recordCount="0" supportSubquery="1" supportAdvancedDrill="1" xr:uid="{10BC03F3-1183-4FD4-9175-A0BD4687B2E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51.961967129631" createdVersion="5" refreshedVersion="8" minRefreshableVersion="3" recordCount="0" supportSubquery="1" supportAdvancedDrill="1" xr:uid="{3002A58A-7983-4C7C-8250-4C14CB369669}">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Patil" refreshedDate="46027.618649421296" createdVersion="3" refreshedVersion="8" minRefreshableVersion="3" recordCount="0" supportSubquery="1" supportAdvancedDrill="1" xr:uid="{E2FC8227-4564-42D9-8A9E-65600D0E9795}">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687349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21D02-744B-4856-80B7-7859B8BDC1BA}" name="PivotTable2" cacheId="2" applyNumberFormats="0" applyBorderFormats="0" applyFontFormats="0" applyPatternFormats="0" applyAlignmentFormats="0" applyWidthHeightFormats="1" dataCaption="Values" tag="a12ecf24-61b4-4abc-b087-c160cf01725b"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3A0FD-3D4B-415C-8985-1879B13E033D}" name="PivotTable13" cacheId="11"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27">
  <location ref="A96:A98"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154B16-E18C-43BF-B9EE-DA4DAC7D1CCD}" name="PivotTable1" cacheId="1" applyNumberFormats="0" applyBorderFormats="0" applyFontFormats="0" applyPatternFormats="0" applyAlignmentFormats="0" applyWidthHeightFormats="1" dataCaption="Values" tag="59e3804a-d660-4240-a2c6-1e0a75411bd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63A64B-BC0A-4886-BDD8-96AFE699D2B6}" name="PivotTable12" cacheId="10"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27">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3">
      <pivotArea outline="0" collapsedLevelsAreSubtotals="1" fieldPosition="0"/>
    </format>
    <format dxfId="2">
      <pivotArea collapsedLevelsAreSubtotals="1" fieldPosition="0">
        <references count="1">
          <reference field="1" count="0"/>
        </references>
      </pivotArea>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08287-9B24-43FB-ACB2-A8981C13A19E}" name="PivotTable11" cacheId="7"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15">
  <location ref="F49:G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5">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D666D-C9AD-4705-BA13-B09CABE36BE2}" name="PivotTable6" cacheId="0" applyNumberFormats="0" applyBorderFormats="0" applyFontFormats="0" applyPatternFormats="0" applyAlignmentFormats="0" applyWidthHeightFormats="1" dataCaption="Values" tag="59e3804a-d660-4240-a2c6-1e0a75411bd2" updatedVersion="8" minRefreshableVersion="3" useAutoFormatting="1" subtotalHiddenItems="1" itemPrintTitles="1" createdVersion="5" indent="0" outline="1" outlineData="1" multipleFieldFilters="0" chartFormat="38">
  <location ref="D4:E35"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FBF1A7-D2D4-4E65-A153-573FA98A45D5}" name="PivotTable9" cacheId="8"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13">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6">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1BB46C-AE62-4517-80C4-6E564F1ECA00}" name="PivotTable8" cacheId="6"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8">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0">
      <pivotArea outline="0" collapsedLevelsAreSubtotals="1" fieldPosition="0"/>
    </format>
    <format dxfId="9">
      <pivotArea collapsedLevelsAreSubtotals="1" fieldPosition="0">
        <references count="1">
          <reference field="1" count="0"/>
        </references>
      </pivotArea>
    </format>
    <format dxfId="8">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F47B1A-2C29-4520-8C81-B5758D663DE4}" name="PivotTable5" cacheId="4" applyNumberFormats="0" applyBorderFormats="0" applyFontFormats="0" applyPatternFormats="0" applyAlignmentFormats="0" applyWidthHeightFormats="1" dataCaption="Values" tag="59e3804a-d660-4240-a2c6-1e0a75411bd2" updatedVersion="8" minRefreshableVersion="3" useAutoFormatting="1" subtotalHiddenItems="1" itemPrintTitles="1" createdVersion="5" indent="0" outline="1" outlineData="1" multipleFieldFilters="0" chartFormat="55">
  <location ref="J5:K36" firstHeaderRow="1" firstDataRow="1" firstDataCol="1"/>
  <pivotFields count="4">
    <pivotField axis="axisRow" allDrilled="1" subtotalTop="0" showAll="0" defaultSubtotal="0" defaultAttributeDrillState="1">
      <items count="62">
        <item x="30"/>
        <item x="0"/>
        <item x="1"/>
        <item x="2"/>
        <item x="3"/>
        <item x="4"/>
        <item x="5"/>
        <item x="6"/>
        <item x="7"/>
        <item x="8"/>
        <item x="9"/>
        <item x="10"/>
        <item x="11"/>
        <item x="12"/>
        <item x="13"/>
        <item x="14"/>
        <item x="15"/>
        <item x="16"/>
        <item x="17"/>
        <item x="18"/>
        <item x="19"/>
        <item x="20"/>
        <item x="21"/>
        <item x="22"/>
        <item x="23"/>
        <item x="24"/>
        <item x="25"/>
        <item x="26"/>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80"/>
  </dataFields>
  <formats count="4">
    <format dxfId="14">
      <pivotArea collapsedLevelsAreSubtotals="1" fieldPosition="0">
        <references count="1">
          <reference field="0" count="1">
            <x v="0"/>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29">
            <x v="2"/>
            <x v="3"/>
            <x v="4"/>
            <x v="5"/>
            <x v="6"/>
            <x v="7"/>
            <x v="8"/>
            <x v="9"/>
            <x v="10"/>
            <x v="11"/>
            <x v="12"/>
            <x v="13"/>
            <x v="14"/>
            <x v="15"/>
            <x v="16"/>
            <x v="17"/>
            <x v="18"/>
            <x v="19"/>
            <x v="20"/>
            <x v="21"/>
            <x v="22"/>
            <x v="23"/>
            <x v="24"/>
            <x v="25"/>
            <x v="26"/>
            <x v="27"/>
            <x v="28"/>
            <x v="29"/>
            <x v="30"/>
          </reference>
        </references>
      </pivotArea>
    </format>
    <format dxfId="11">
      <pivotArea collapsedLevelsAreSubtotals="1" fieldPosition="0">
        <references count="1">
          <reference field="0" count="31">
            <x v="31"/>
            <x v="32"/>
            <x v="33"/>
            <x v="34"/>
            <x v="35"/>
            <x v="36"/>
            <x v="37"/>
            <x v="38"/>
            <x v="39"/>
            <x v="40"/>
            <x v="41"/>
            <x v="42"/>
            <x v="43"/>
            <x v="44"/>
            <x v="45"/>
            <x v="46"/>
            <x v="47"/>
            <x v="48"/>
            <x v="49"/>
            <x v="50"/>
            <x v="51"/>
            <x v="52"/>
            <x v="53"/>
            <x v="54"/>
            <x v="55"/>
            <x v="56"/>
            <x v="57"/>
            <x v="58"/>
            <x v="59"/>
            <x v="60"/>
            <x v="61"/>
          </reference>
        </references>
      </pivotArea>
    </format>
  </formats>
  <chartFormats count="2">
    <chartFormat chart="45" format="2"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861634-807C-4F8B-BCD7-400A163B48FE}" name="PivotTable3" cacheId="3"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17CC42-BEE0-45B7-8A4D-E7F2796418A7}" name="PivotTable10" cacheId="9" applyNumberFormats="0" applyBorderFormats="0" applyFontFormats="0" applyPatternFormats="0" applyAlignmentFormats="0" applyWidthHeightFormats="1" dataCaption="Values" tag="88ef144b-1e12-4fde-b9c6-f79214d32e61" updatedVersion="8" minRefreshableVersion="3" subtotalHiddenItems="1" itemPrintTitles="1" createdVersion="5" indent="0" outline="1" outlineData="1" multipleFieldFilters="0" chartFormat="18">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7">
      <pivotArea outline="0" collapsedLevelsAreSubtotals="1" fieldPosition="0"/>
    </format>
    <format dxfId="16">
      <pivotArea collapsedLevelsAreSubtotals="1" fieldPosition="0">
        <references count="1">
          <reference field="1" count="0"/>
        </references>
      </pivotArea>
    </format>
  </formats>
  <chartFormats count="6">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48BE3C-FED9-4347-9CBE-BA6484C900D0}" name="PivotTable7" cacheId="5" applyNumberFormats="0" applyBorderFormats="0" applyFontFormats="0" applyPatternFormats="0" applyAlignmentFormats="0" applyWidthHeightFormats="1" dataCaption="Values" tag="59e3804a-d660-4240-a2c6-1e0a75411bd2" updatedVersion="8" minRefreshableVersion="3" useAutoFormatting="1" subtotalHiddenItems="1" itemPrintTitles="1" createdVersion="5" indent="0" outline="1" outlineData="1" multipleFieldFilters="0" chartFormat="60">
  <location ref="M5:N36" firstHeaderRow="1" firstDataRow="1" firstDataCol="1"/>
  <pivotFields count="4">
    <pivotField axis="axisRow" allDrilled="1" subtotalTop="0" showAll="0" defaultSubtotal="0" defaultAttributeDrillState="1">
      <items count="62">
        <item x="30"/>
        <item x="0"/>
        <item x="1"/>
        <item x="2"/>
        <item x="3"/>
        <item x="4"/>
        <item x="5"/>
        <item x="6"/>
        <item x="7"/>
        <item x="8"/>
        <item x="9"/>
        <item x="10"/>
        <item x="11"/>
        <item x="12"/>
        <item x="13"/>
        <item x="14"/>
        <item x="15"/>
        <item x="16"/>
        <item x="17"/>
        <item x="18"/>
        <item x="19"/>
        <item x="20"/>
        <item x="21"/>
        <item x="22"/>
        <item x="23"/>
        <item x="24"/>
        <item x="25"/>
        <item x="26"/>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62"/>
  </dataFields>
  <formats count="3">
    <format dxfId="20">
      <pivotArea collapsedLevelsAreSubtotals="1" fieldPosition="0">
        <references count="1">
          <reference field="0" count="1">
            <x v="0"/>
          </reference>
        </references>
      </pivotArea>
    </format>
    <format dxfId="19">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18">
      <pivotArea collapsedLevelsAreSubtotals="1" fieldPosition="0">
        <references count="1">
          <reference field="0" count="31">
            <x v="31"/>
            <x v="32"/>
            <x v="33"/>
            <x v="34"/>
            <x v="35"/>
            <x v="36"/>
            <x v="37"/>
            <x v="38"/>
            <x v="39"/>
            <x v="40"/>
            <x v="41"/>
            <x v="42"/>
            <x v="43"/>
            <x v="44"/>
            <x v="45"/>
            <x v="46"/>
            <x v="47"/>
            <x v="48"/>
            <x v="49"/>
            <x v="50"/>
            <x v="51"/>
            <x v="52"/>
            <x v="53"/>
            <x v="54"/>
            <x v="55"/>
            <x v="56"/>
            <x v="57"/>
            <x v="58"/>
            <x v="59"/>
            <x v="60"/>
            <x v="61"/>
          </reference>
        </references>
      </pivotArea>
    </format>
  </formats>
  <chartFormats count="2">
    <chartFormat chart="54" format="2"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5C810FF-BFD3-4A56-B6D8-E7CD92F9E615}" sourceName="[Calender_Table].[Date (Month)]">
  <pivotTables>
    <pivotTable tabId="1" name="PivotTable6"/>
    <pivotTable tabId="1" name="PivotTable1"/>
    <pivotTable tabId="1" name="PivotTable2"/>
    <pivotTable tabId="1" name="PivotTable3"/>
    <pivotTable tabId="1" name="PivotTable5"/>
    <pivotTable tabId="1" name="PivotTable7"/>
    <pivotTable tabId="1" name="PivotTable8"/>
    <pivotTable tabId="1" name="PivotTable11"/>
    <pivotTable tabId="1" name="PivotTable9"/>
    <pivotTable tabId="1" name="PivotTable10"/>
    <pivotTable tabId="1" name="PivotTable12"/>
    <pivotTable tabId="1" name="PivotTable13"/>
  </pivotTables>
  <data>
    <olap pivotCacheId="1168734975">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nd="1"/>
              <i n="[Calender_Table].[Date (Month)].&amp;[Feb]" c="Feb" nd="1"/>
              <i n="[Calender_Table].[Date (Month)].&amp;[Mar]" c="Mar" nd="1"/>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12A28A-0DD5-4120-8581-35B6B68BEA00}"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116873497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29272D1-EFE9-4200-B75F-B8DD00343392}"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5C43692-D276-4767-A90D-4B1BA96D202D}" cache="Slicer_Date__Month" caption="Date (Month)" showCaption="0" level="1" style="Dark" rowHeight="144000"/>
  <slicer name="Date (Year) 1" xr10:uid="{A08D922C-5F99-449B-B8A9-CE7DA61D784B}" cache="Slicer_Date__Year" caption="Date (Year)" columnCount="2" showCaption="0" level="1" style="Dark" rowHeight="144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242852"/>
      </a:dk2>
      <a:lt2>
        <a:srgbClr val="ACCBF9"/>
      </a:lt2>
      <a:accent1>
        <a:srgbClr val="242852"/>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0764-54DF-4EC7-BEEE-51A0513DDDB9}">
  <dimension ref="A3:N98"/>
  <sheetViews>
    <sheetView zoomScale="152" zoomScaleNormal="109" workbookViewId="0">
      <selection activeCell="P9" sqref="P9"/>
    </sheetView>
  </sheetViews>
  <sheetFormatPr defaultRowHeight="14.4" x14ac:dyDescent="0.3"/>
  <cols>
    <col min="1" max="1" width="17.21875" customWidth="1"/>
    <col min="2" max="2" width="13.33203125" customWidth="1"/>
    <col min="3" max="3" width="8.5546875" customWidth="1"/>
    <col min="4" max="4" width="12.5546875" customWidth="1"/>
    <col min="5" max="5" width="24.109375" bestFit="1" customWidth="1"/>
    <col min="6" max="6" width="14.109375" customWidth="1"/>
    <col min="10" max="10" width="12.5546875" bestFit="1" customWidth="1"/>
    <col min="11" max="11" width="25.33203125" bestFit="1" customWidth="1"/>
    <col min="12" max="12" width="21.88671875" bestFit="1" customWidth="1"/>
    <col min="13" max="13" width="12.5546875" bestFit="1" customWidth="1"/>
    <col min="14" max="14" width="32.5546875" bestFit="1" customWidth="1"/>
    <col min="15" max="15" width="29.21875" bestFit="1" customWidth="1"/>
  </cols>
  <sheetData>
    <row r="3" spans="1:14" x14ac:dyDescent="0.3">
      <c r="A3" t="s">
        <v>1</v>
      </c>
    </row>
    <row r="4" spans="1:14" x14ac:dyDescent="0.3">
      <c r="A4" t="s">
        <v>0</v>
      </c>
      <c r="D4" s="2" t="s">
        <v>6</v>
      </c>
      <c r="E4" t="s">
        <v>0</v>
      </c>
    </row>
    <row r="5" spans="1:14" x14ac:dyDescent="0.3">
      <c r="A5">
        <v>506</v>
      </c>
      <c r="D5" s="3" t="s">
        <v>39</v>
      </c>
      <c r="E5">
        <v>26</v>
      </c>
      <c r="J5" s="2" t="s">
        <v>6</v>
      </c>
      <c r="K5" t="s">
        <v>2</v>
      </c>
      <c r="M5" s="2" t="s">
        <v>6</v>
      </c>
      <c r="N5" t="s">
        <v>3</v>
      </c>
    </row>
    <row r="6" spans="1:14" x14ac:dyDescent="0.3">
      <c r="D6" s="3" t="s">
        <v>40</v>
      </c>
      <c r="E6">
        <v>17</v>
      </c>
      <c r="J6" s="3" t="s">
        <v>39</v>
      </c>
      <c r="K6" s="1">
        <v>34.884615384615387</v>
      </c>
      <c r="M6" s="3" t="s">
        <v>39</v>
      </c>
      <c r="N6" s="13">
        <v>4.8</v>
      </c>
    </row>
    <row r="7" spans="1:14" x14ac:dyDescent="0.3">
      <c r="D7" s="3" t="s">
        <v>41</v>
      </c>
      <c r="E7">
        <v>19</v>
      </c>
      <c r="J7" s="3" t="s">
        <v>40</v>
      </c>
      <c r="K7" s="1">
        <v>34.941176470588232</v>
      </c>
      <c r="M7" s="3" t="s">
        <v>40</v>
      </c>
      <c r="N7" s="13">
        <v>5.333333333333333</v>
      </c>
    </row>
    <row r="8" spans="1:14" x14ac:dyDescent="0.3">
      <c r="D8" s="3" t="s">
        <v>42</v>
      </c>
      <c r="E8">
        <v>17</v>
      </c>
      <c r="J8" s="3" t="s">
        <v>41</v>
      </c>
      <c r="K8" s="1">
        <v>32.736842105263158</v>
      </c>
      <c r="M8" s="3" t="s">
        <v>41</v>
      </c>
      <c r="N8" s="13">
        <v>6.666666666666667</v>
      </c>
    </row>
    <row r="9" spans="1:14" x14ac:dyDescent="0.3">
      <c r="A9" t="s">
        <v>2</v>
      </c>
      <c r="D9" s="3" t="s">
        <v>43</v>
      </c>
      <c r="E9">
        <v>18</v>
      </c>
      <c r="J9" s="3" t="s">
        <v>42</v>
      </c>
      <c r="K9" s="1">
        <v>34.411764705882355</v>
      </c>
      <c r="M9" s="3" t="s">
        <v>42</v>
      </c>
      <c r="N9" s="13">
        <v>4.5555555555555554</v>
      </c>
    </row>
    <row r="10" spans="1:14" x14ac:dyDescent="0.3">
      <c r="A10" s="1">
        <v>35.581027667984188</v>
      </c>
      <c r="D10" s="3" t="s">
        <v>44</v>
      </c>
      <c r="E10">
        <v>17</v>
      </c>
      <c r="J10" s="3" t="s">
        <v>43</v>
      </c>
      <c r="K10" s="1">
        <v>34.388888888888886</v>
      </c>
      <c r="M10" s="3" t="s">
        <v>43</v>
      </c>
      <c r="N10" s="13">
        <v>4.333333333333333</v>
      </c>
    </row>
    <row r="11" spans="1:14" x14ac:dyDescent="0.3">
      <c r="D11" s="3" t="s">
        <v>45</v>
      </c>
      <c r="E11">
        <v>17</v>
      </c>
      <c r="J11" s="3" t="s">
        <v>44</v>
      </c>
      <c r="K11" s="1">
        <v>33.294117647058826</v>
      </c>
      <c r="M11" s="3" t="s">
        <v>44</v>
      </c>
      <c r="N11" s="13">
        <v>7.333333333333333</v>
      </c>
    </row>
    <row r="12" spans="1:14" x14ac:dyDescent="0.3">
      <c r="D12" s="3" t="s">
        <v>46</v>
      </c>
      <c r="E12">
        <v>19</v>
      </c>
      <c r="J12" s="3" t="s">
        <v>45</v>
      </c>
      <c r="K12" s="1">
        <v>35</v>
      </c>
      <c r="M12" s="3" t="s">
        <v>45</v>
      </c>
      <c r="N12" s="13">
        <v>5.25</v>
      </c>
    </row>
    <row r="13" spans="1:14" x14ac:dyDescent="0.3">
      <c r="D13" s="3" t="s">
        <v>47</v>
      </c>
      <c r="E13">
        <v>19</v>
      </c>
      <c r="J13" s="3" t="s">
        <v>46</v>
      </c>
      <c r="K13" s="1">
        <v>36.736842105263158</v>
      </c>
      <c r="M13" s="3" t="s">
        <v>46</v>
      </c>
      <c r="N13" s="13">
        <v>6.333333333333333</v>
      </c>
    </row>
    <row r="14" spans="1:14" x14ac:dyDescent="0.3">
      <c r="D14" s="3" t="s">
        <v>48</v>
      </c>
      <c r="E14">
        <v>14</v>
      </c>
      <c r="J14" s="3" t="s">
        <v>47</v>
      </c>
      <c r="K14" s="1">
        <v>37.368421052631582</v>
      </c>
      <c r="M14" s="3" t="s">
        <v>47</v>
      </c>
      <c r="N14" s="13">
        <v>5.7142857142857144</v>
      </c>
    </row>
    <row r="15" spans="1:14" x14ac:dyDescent="0.3">
      <c r="A15" t="s">
        <v>3</v>
      </c>
      <c r="D15" s="3" t="s">
        <v>49</v>
      </c>
      <c r="E15">
        <v>17</v>
      </c>
      <c r="J15" s="3" t="s">
        <v>48</v>
      </c>
      <c r="K15" s="1">
        <v>31.428571428571427</v>
      </c>
      <c r="M15" s="3" t="s">
        <v>48</v>
      </c>
      <c r="N15" s="13">
        <v>5</v>
      </c>
    </row>
    <row r="16" spans="1:14" x14ac:dyDescent="0.3">
      <c r="A16" s="1">
        <v>5.1818181818181817</v>
      </c>
      <c r="D16" s="3" t="s">
        <v>50</v>
      </c>
      <c r="E16">
        <v>20</v>
      </c>
      <c r="J16" s="3" t="s">
        <v>49</v>
      </c>
      <c r="K16" s="1">
        <v>45.470588235294116</v>
      </c>
      <c r="M16" s="3" t="s">
        <v>49</v>
      </c>
      <c r="N16" s="13">
        <v>6.166666666666667</v>
      </c>
    </row>
    <row r="17" spans="4:14" x14ac:dyDescent="0.3">
      <c r="D17" s="3" t="s">
        <v>51</v>
      </c>
      <c r="E17">
        <v>13</v>
      </c>
      <c r="J17" s="3" t="s">
        <v>50</v>
      </c>
      <c r="K17" s="1">
        <v>32.549999999999997</v>
      </c>
      <c r="M17" s="3" t="s">
        <v>50</v>
      </c>
      <c r="N17" s="13">
        <v>3</v>
      </c>
    </row>
    <row r="18" spans="4:14" x14ac:dyDescent="0.3">
      <c r="D18" s="3" t="s">
        <v>52</v>
      </c>
      <c r="E18">
        <v>14</v>
      </c>
      <c r="J18" s="3" t="s">
        <v>51</v>
      </c>
      <c r="K18" s="1">
        <v>39.615384615384613</v>
      </c>
      <c r="M18" s="3" t="s">
        <v>51</v>
      </c>
      <c r="N18" s="13">
        <v>4.5</v>
      </c>
    </row>
    <row r="19" spans="4:14" x14ac:dyDescent="0.3">
      <c r="D19" s="3" t="s">
        <v>53</v>
      </c>
      <c r="E19">
        <v>15</v>
      </c>
      <c r="J19" s="3" t="s">
        <v>52</v>
      </c>
      <c r="K19" s="1">
        <v>36</v>
      </c>
      <c r="M19" s="3" t="s">
        <v>52</v>
      </c>
      <c r="N19" s="13">
        <v>4.666666666666667</v>
      </c>
    </row>
    <row r="20" spans="4:14" x14ac:dyDescent="0.3">
      <c r="D20" s="3" t="s">
        <v>54</v>
      </c>
      <c r="E20">
        <v>13</v>
      </c>
      <c r="J20" s="3" t="s">
        <v>53</v>
      </c>
      <c r="K20" s="1">
        <v>31.6</v>
      </c>
      <c r="M20" s="3" t="s">
        <v>53</v>
      </c>
      <c r="N20" s="13">
        <v>9</v>
      </c>
    </row>
    <row r="21" spans="4:14" x14ac:dyDescent="0.3">
      <c r="D21" s="3" t="s">
        <v>55</v>
      </c>
      <c r="E21">
        <v>15</v>
      </c>
      <c r="J21" s="3" t="s">
        <v>54</v>
      </c>
      <c r="K21" s="1">
        <v>33.846153846153847</v>
      </c>
      <c r="M21" s="3" t="s">
        <v>54</v>
      </c>
      <c r="N21" s="13">
        <v>1.5</v>
      </c>
    </row>
    <row r="22" spans="4:14" x14ac:dyDescent="0.3">
      <c r="D22" s="3" t="s">
        <v>56</v>
      </c>
      <c r="E22">
        <v>17</v>
      </c>
      <c r="J22" s="3" t="s">
        <v>55</v>
      </c>
      <c r="K22" s="1">
        <v>31.8</v>
      </c>
      <c r="M22" s="3" t="s">
        <v>55</v>
      </c>
      <c r="N22" s="13">
        <v>6.8</v>
      </c>
    </row>
    <row r="23" spans="4:14" x14ac:dyDescent="0.3">
      <c r="D23" s="3" t="s">
        <v>57</v>
      </c>
      <c r="E23">
        <v>10</v>
      </c>
      <c r="J23" s="3" t="s">
        <v>56</v>
      </c>
      <c r="K23" s="1">
        <v>36</v>
      </c>
      <c r="M23" s="3" t="s">
        <v>56</v>
      </c>
      <c r="N23" s="13">
        <v>4.625</v>
      </c>
    </row>
    <row r="24" spans="4:14" x14ac:dyDescent="0.3">
      <c r="D24" s="3" t="s">
        <v>58</v>
      </c>
      <c r="E24">
        <v>13</v>
      </c>
      <c r="J24" s="3" t="s">
        <v>57</v>
      </c>
      <c r="K24" s="1">
        <v>29.8</v>
      </c>
      <c r="M24" s="3" t="s">
        <v>57</v>
      </c>
      <c r="N24" s="13">
        <v>4.333333333333333</v>
      </c>
    </row>
    <row r="25" spans="4:14" x14ac:dyDescent="0.3">
      <c r="D25" s="3" t="s">
        <v>59</v>
      </c>
      <c r="E25">
        <v>17</v>
      </c>
      <c r="J25" s="3" t="s">
        <v>58</v>
      </c>
      <c r="K25" s="1">
        <v>41.307692307692307</v>
      </c>
      <c r="M25" s="3" t="s">
        <v>58</v>
      </c>
      <c r="N25" s="13">
        <v>1.3333333333333333</v>
      </c>
    </row>
    <row r="26" spans="4:14" x14ac:dyDescent="0.3">
      <c r="D26" s="3" t="s">
        <v>60</v>
      </c>
      <c r="E26">
        <v>26</v>
      </c>
      <c r="J26" s="3" t="s">
        <v>59</v>
      </c>
      <c r="K26" s="1">
        <v>29.764705882352942</v>
      </c>
      <c r="M26" s="3" t="s">
        <v>59</v>
      </c>
      <c r="N26" s="13">
        <v>5</v>
      </c>
    </row>
    <row r="27" spans="4:14" x14ac:dyDescent="0.3">
      <c r="D27" s="3" t="s">
        <v>61</v>
      </c>
      <c r="E27">
        <v>8</v>
      </c>
      <c r="J27" s="3" t="s">
        <v>60</v>
      </c>
      <c r="K27" s="1">
        <v>37.92307692307692</v>
      </c>
      <c r="M27" s="3" t="s">
        <v>60</v>
      </c>
      <c r="N27" s="13">
        <v>3.1666666666666665</v>
      </c>
    </row>
    <row r="28" spans="4:14" x14ac:dyDescent="0.3">
      <c r="D28" s="3" t="s">
        <v>62</v>
      </c>
      <c r="E28">
        <v>17</v>
      </c>
      <c r="J28" s="3" t="s">
        <v>61</v>
      </c>
      <c r="K28" s="1">
        <v>38.625</v>
      </c>
      <c r="M28" s="3" t="s">
        <v>61</v>
      </c>
      <c r="N28" s="13">
        <v>7.5</v>
      </c>
    </row>
    <row r="29" spans="4:14" x14ac:dyDescent="0.3">
      <c r="D29" s="3" t="s">
        <v>63</v>
      </c>
      <c r="E29">
        <v>18</v>
      </c>
      <c r="J29" s="3" t="s">
        <v>62</v>
      </c>
      <c r="K29" s="1">
        <v>41.470588235294116</v>
      </c>
      <c r="M29" s="3" t="s">
        <v>62</v>
      </c>
      <c r="N29" s="13">
        <v>4.2</v>
      </c>
    </row>
    <row r="30" spans="4:14" x14ac:dyDescent="0.3">
      <c r="D30" s="3" t="s">
        <v>64</v>
      </c>
      <c r="E30">
        <v>19</v>
      </c>
      <c r="J30" s="3" t="s">
        <v>63</v>
      </c>
      <c r="K30" s="1">
        <v>39.5</v>
      </c>
      <c r="M30" s="3" t="s">
        <v>63</v>
      </c>
      <c r="N30" s="13">
        <v>4.625</v>
      </c>
    </row>
    <row r="31" spans="4:14" x14ac:dyDescent="0.3">
      <c r="D31" s="3" t="s">
        <v>65</v>
      </c>
      <c r="E31">
        <v>20</v>
      </c>
      <c r="J31" s="3" t="s">
        <v>64</v>
      </c>
      <c r="K31" s="1">
        <v>29.736842105263158</v>
      </c>
      <c r="M31" s="3" t="s">
        <v>64</v>
      </c>
      <c r="N31" s="13">
        <v>9.6666666666666661</v>
      </c>
    </row>
    <row r="32" spans="4:14" x14ac:dyDescent="0.3">
      <c r="D32" s="3" t="s">
        <v>66</v>
      </c>
      <c r="E32">
        <v>23</v>
      </c>
      <c r="J32" s="3" t="s">
        <v>65</v>
      </c>
      <c r="K32" s="1">
        <v>37.75</v>
      </c>
      <c r="M32" s="3" t="s">
        <v>65</v>
      </c>
      <c r="N32" s="13">
        <v>6.125</v>
      </c>
    </row>
    <row r="33" spans="1:14" x14ac:dyDescent="0.3">
      <c r="D33" s="3" t="s">
        <v>67</v>
      </c>
      <c r="E33">
        <v>16</v>
      </c>
      <c r="J33" s="3" t="s">
        <v>66</v>
      </c>
      <c r="K33" s="1">
        <v>37.782608695652172</v>
      </c>
      <c r="M33" s="3" t="s">
        <v>66</v>
      </c>
      <c r="N33" s="13">
        <v>5.5555555555555554</v>
      </c>
    </row>
    <row r="34" spans="1:14" x14ac:dyDescent="0.3">
      <c r="D34" s="3" t="s">
        <v>68</v>
      </c>
      <c r="E34">
        <v>12</v>
      </c>
      <c r="J34" s="3" t="s">
        <v>67</v>
      </c>
      <c r="K34" s="1">
        <v>34.1875</v>
      </c>
      <c r="M34" s="3" t="s">
        <v>67</v>
      </c>
      <c r="N34" s="13">
        <v>6.333333333333333</v>
      </c>
    </row>
    <row r="35" spans="1:14" x14ac:dyDescent="0.3">
      <c r="D35" s="3" t="s">
        <v>5</v>
      </c>
      <c r="E35">
        <v>506</v>
      </c>
      <c r="J35" s="3" t="s">
        <v>68</v>
      </c>
      <c r="K35" s="1">
        <v>36.166666666666664</v>
      </c>
      <c r="M35" s="3" t="s">
        <v>68</v>
      </c>
      <c r="N35" s="13">
        <v>5.333333333333333</v>
      </c>
    </row>
    <row r="36" spans="1:14" x14ac:dyDescent="0.3">
      <c r="J36" s="3" t="s">
        <v>5</v>
      </c>
      <c r="K36">
        <v>35.581027667984188</v>
      </c>
      <c r="M36" s="3" t="s">
        <v>5</v>
      </c>
      <c r="N36">
        <v>5.1818181818181817</v>
      </c>
    </row>
    <row r="42" spans="1:14" x14ac:dyDescent="0.3">
      <c r="A42" s="2" t="s">
        <v>6</v>
      </c>
      <c r="B42" t="s">
        <v>17</v>
      </c>
      <c r="C42" t="s">
        <v>18</v>
      </c>
    </row>
    <row r="43" spans="1:14" x14ac:dyDescent="0.3">
      <c r="A43" s="3" t="s">
        <v>7</v>
      </c>
      <c r="B43" s="5">
        <v>252</v>
      </c>
      <c r="C43" s="4">
        <v>0.49802371541501977</v>
      </c>
    </row>
    <row r="44" spans="1:14" x14ac:dyDescent="0.3">
      <c r="A44" s="3" t="s">
        <v>10</v>
      </c>
      <c r="B44" s="5">
        <v>254</v>
      </c>
      <c r="C44" s="4">
        <v>0.50197628458498023</v>
      </c>
    </row>
    <row r="45" spans="1:14" x14ac:dyDescent="0.3">
      <c r="A45" s="3" t="s">
        <v>5</v>
      </c>
      <c r="B45" s="1">
        <v>506</v>
      </c>
      <c r="C45" s="4">
        <v>1</v>
      </c>
    </row>
    <row r="48" spans="1:14" ht="13.8" customHeight="1" x14ac:dyDescent="0.3"/>
    <row r="49" spans="1:7" x14ac:dyDescent="0.3">
      <c r="A49" s="9" t="s">
        <v>19</v>
      </c>
      <c r="B49" s="9" t="s">
        <v>21</v>
      </c>
      <c r="C49" s="9" t="s">
        <v>20</v>
      </c>
      <c r="D49" s="10"/>
      <c r="F49" s="2" t="s">
        <v>6</v>
      </c>
      <c r="G49" t="s">
        <v>22</v>
      </c>
    </row>
    <row r="50" spans="1:7" x14ac:dyDescent="0.3">
      <c r="A50" s="7" t="str">
        <f>A44</f>
        <v>Not Addmitted</v>
      </c>
      <c r="B50" s="7">
        <f>B44</f>
        <v>254</v>
      </c>
      <c r="C50" s="8">
        <f>C44</f>
        <v>0.50197628458498023</v>
      </c>
      <c r="D50" s="6"/>
      <c r="F50" s="3" t="s">
        <v>13</v>
      </c>
      <c r="G50" s="5">
        <v>54</v>
      </c>
    </row>
    <row r="51" spans="1:7" x14ac:dyDescent="0.3">
      <c r="A51" s="7" t="str">
        <f>A43</f>
        <v>Addmitted</v>
      </c>
      <c r="B51" s="7">
        <f>B43</f>
        <v>252</v>
      </c>
      <c r="C51" s="8">
        <f>C43</f>
        <v>0.49802371541501977</v>
      </c>
      <c r="D51" s="6"/>
      <c r="F51" s="3" t="s">
        <v>11</v>
      </c>
      <c r="G51" s="5">
        <v>72</v>
      </c>
    </row>
    <row r="52" spans="1:7" x14ac:dyDescent="0.3">
      <c r="F52" s="3" t="s">
        <v>8</v>
      </c>
      <c r="G52" s="5">
        <v>75</v>
      </c>
    </row>
    <row r="53" spans="1:7" x14ac:dyDescent="0.3">
      <c r="F53" s="3" t="s">
        <v>9</v>
      </c>
      <c r="G53" s="5">
        <v>62</v>
      </c>
    </row>
    <row r="54" spans="1:7" x14ac:dyDescent="0.3">
      <c r="F54" s="3" t="s">
        <v>12</v>
      </c>
      <c r="G54" s="5">
        <v>63</v>
      </c>
    </row>
    <row r="55" spans="1:7" x14ac:dyDescent="0.3">
      <c r="F55" s="3" t="s">
        <v>16</v>
      </c>
      <c r="G55" s="5">
        <v>49</v>
      </c>
    </row>
    <row r="56" spans="1:7" x14ac:dyDescent="0.3">
      <c r="F56" s="3" t="s">
        <v>15</v>
      </c>
      <c r="G56" s="5">
        <v>74</v>
      </c>
    </row>
    <row r="57" spans="1:7" x14ac:dyDescent="0.3">
      <c r="F57" s="3" t="s">
        <v>14</v>
      </c>
      <c r="G57" s="5">
        <v>57</v>
      </c>
    </row>
    <row r="58" spans="1:7" x14ac:dyDescent="0.3">
      <c r="F58" s="3" t="s">
        <v>5</v>
      </c>
      <c r="G58" s="1">
        <v>506</v>
      </c>
    </row>
    <row r="63" spans="1:7" x14ac:dyDescent="0.3">
      <c r="A63" s="2" t="s">
        <v>6</v>
      </c>
      <c r="B63" t="s">
        <v>35</v>
      </c>
    </row>
    <row r="64" spans="1:7" x14ac:dyDescent="0.3">
      <c r="A64" s="3" t="s">
        <v>26</v>
      </c>
      <c r="B64" s="5">
        <v>311</v>
      </c>
    </row>
    <row r="65" spans="1:2" x14ac:dyDescent="0.3">
      <c r="A65" s="3" t="s">
        <v>25</v>
      </c>
      <c r="B65" s="5">
        <v>195</v>
      </c>
    </row>
    <row r="66" spans="1:2" x14ac:dyDescent="0.3">
      <c r="A66" s="3" t="s">
        <v>5</v>
      </c>
      <c r="B66" s="1">
        <v>506</v>
      </c>
    </row>
    <row r="73" spans="1:2" x14ac:dyDescent="0.3">
      <c r="A73" s="2" t="s">
        <v>6</v>
      </c>
      <c r="B73" t="s">
        <v>36</v>
      </c>
    </row>
    <row r="74" spans="1:2" x14ac:dyDescent="0.3">
      <c r="A74" s="3" t="s">
        <v>27</v>
      </c>
      <c r="B74" s="5">
        <v>233</v>
      </c>
    </row>
    <row r="75" spans="1:2" x14ac:dyDescent="0.3">
      <c r="A75" s="3" t="s">
        <v>23</v>
      </c>
      <c r="B75" s="5">
        <v>273</v>
      </c>
    </row>
    <row r="76" spans="1:2" x14ac:dyDescent="0.3">
      <c r="A76" s="3" t="s">
        <v>5</v>
      </c>
      <c r="B76" s="1">
        <v>506</v>
      </c>
    </row>
    <row r="82" spans="1:2" x14ac:dyDescent="0.3">
      <c r="A82" s="2" t="s">
        <v>6</v>
      </c>
      <c r="B82" t="s">
        <v>37</v>
      </c>
    </row>
    <row r="83" spans="1:2" x14ac:dyDescent="0.3">
      <c r="A83" s="3" t="s">
        <v>34</v>
      </c>
      <c r="B83" s="5">
        <v>2</v>
      </c>
    </row>
    <row r="84" spans="1:2" x14ac:dyDescent="0.3">
      <c r="A84" s="3" t="s">
        <v>33</v>
      </c>
      <c r="B84" s="5">
        <v>11</v>
      </c>
    </row>
    <row r="85" spans="1:2" x14ac:dyDescent="0.3">
      <c r="A85" s="3" t="s">
        <v>31</v>
      </c>
      <c r="B85" s="5">
        <v>12</v>
      </c>
    </row>
    <row r="86" spans="1:2" x14ac:dyDescent="0.3">
      <c r="A86" s="3" t="s">
        <v>32</v>
      </c>
      <c r="B86" s="5">
        <v>15</v>
      </c>
    </row>
    <row r="87" spans="1:2" x14ac:dyDescent="0.3">
      <c r="A87" s="3" t="s">
        <v>30</v>
      </c>
      <c r="B87" s="5">
        <v>18</v>
      </c>
    </row>
    <row r="88" spans="1:2" x14ac:dyDescent="0.3">
      <c r="A88" s="3" t="s">
        <v>29</v>
      </c>
      <c r="B88" s="5">
        <v>60</v>
      </c>
    </row>
    <row r="89" spans="1:2" x14ac:dyDescent="0.3">
      <c r="A89" s="3" t="s">
        <v>28</v>
      </c>
      <c r="B89" s="5">
        <v>83</v>
      </c>
    </row>
    <row r="90" spans="1:2" x14ac:dyDescent="0.3">
      <c r="A90" s="3" t="s">
        <v>24</v>
      </c>
      <c r="B90" s="5">
        <v>305</v>
      </c>
    </row>
    <row r="91" spans="1:2" x14ac:dyDescent="0.3">
      <c r="A91" s="3" t="s">
        <v>5</v>
      </c>
      <c r="B91" s="1">
        <v>506</v>
      </c>
    </row>
    <row r="96" spans="1:2" x14ac:dyDescent="0.3">
      <c r="A96" s="2" t="s">
        <v>6</v>
      </c>
    </row>
    <row r="97" spans="1:1" x14ac:dyDescent="0.3">
      <c r="A97" s="3" t="s">
        <v>38</v>
      </c>
    </row>
    <row r="98" spans="1:1" x14ac:dyDescent="0.3">
      <c r="A98" s="3" t="s">
        <v>5</v>
      </c>
    </row>
  </sheetData>
  <phoneticPr fontId="1" type="noConversion"/>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FE27-FA23-4A1D-A648-8192A099AFC6}">
  <dimension ref="A1:L17"/>
  <sheetViews>
    <sheetView showGridLines="0" tabSelected="1" zoomScale="136" zoomScaleNormal="136" workbookViewId="0">
      <selection activeCell="M7" sqref="M7"/>
    </sheetView>
  </sheetViews>
  <sheetFormatPr defaultRowHeight="14.4" x14ac:dyDescent="0.3"/>
  <cols>
    <col min="4" max="4" width="6.88671875" customWidth="1"/>
  </cols>
  <sheetData>
    <row r="1" spans="1:12" x14ac:dyDescent="0.3">
      <c r="A1" s="12"/>
      <c r="B1" s="12"/>
      <c r="C1" s="12"/>
      <c r="D1" s="12"/>
      <c r="E1" s="12"/>
      <c r="F1" s="12"/>
      <c r="G1" s="12"/>
      <c r="H1" s="12"/>
      <c r="I1" s="12"/>
      <c r="J1" s="12"/>
      <c r="K1" s="12"/>
      <c r="L1" s="12"/>
    </row>
    <row r="2" spans="1:12" x14ac:dyDescent="0.3">
      <c r="A2" s="12"/>
      <c r="B2" s="12"/>
      <c r="C2" s="12"/>
      <c r="D2" s="12"/>
      <c r="E2" s="12"/>
      <c r="F2" s="12"/>
      <c r="G2" s="12"/>
      <c r="H2" s="12"/>
      <c r="I2" s="12"/>
      <c r="J2" s="12"/>
      <c r="K2" s="12"/>
      <c r="L2" s="12"/>
    </row>
    <row r="3" spans="1:12" x14ac:dyDescent="0.3">
      <c r="A3" s="12"/>
      <c r="B3" s="12"/>
      <c r="C3" s="12"/>
      <c r="D3" s="12"/>
      <c r="E3" s="12"/>
      <c r="F3" s="12"/>
      <c r="G3" s="12"/>
      <c r="H3" s="12"/>
      <c r="I3" s="12"/>
      <c r="J3" s="12"/>
      <c r="K3" s="12"/>
      <c r="L3" s="12"/>
    </row>
    <row r="4" spans="1:12" x14ac:dyDescent="0.3">
      <c r="A4" s="12"/>
      <c r="B4" s="12"/>
      <c r="C4" s="12"/>
      <c r="D4" s="12"/>
      <c r="E4" s="12"/>
      <c r="F4" s="12"/>
      <c r="G4" s="12"/>
      <c r="H4" s="12"/>
      <c r="I4" s="12"/>
      <c r="J4" s="12"/>
      <c r="K4" s="12"/>
      <c r="L4" s="12"/>
    </row>
    <row r="5" spans="1:12" x14ac:dyDescent="0.3">
      <c r="A5" s="12"/>
      <c r="B5" s="12"/>
      <c r="C5" s="12"/>
      <c r="D5" s="12"/>
      <c r="E5" s="12"/>
      <c r="F5" s="12"/>
      <c r="G5" s="12"/>
      <c r="H5" s="12"/>
      <c r="I5" s="12"/>
      <c r="J5" s="12"/>
      <c r="K5" s="12"/>
      <c r="L5" s="12"/>
    </row>
    <row r="6" spans="1:12" x14ac:dyDescent="0.3">
      <c r="A6" s="12"/>
      <c r="B6" s="12"/>
      <c r="C6" s="12"/>
      <c r="D6" s="12"/>
      <c r="E6" s="12"/>
      <c r="F6" s="12"/>
      <c r="G6" s="12"/>
      <c r="H6" s="12"/>
      <c r="I6" s="12"/>
      <c r="J6" s="12"/>
      <c r="K6" s="12"/>
      <c r="L6" s="12"/>
    </row>
    <row r="7" spans="1:12" x14ac:dyDescent="0.3">
      <c r="A7" s="12"/>
      <c r="B7" s="12"/>
      <c r="C7" s="12"/>
      <c r="D7" s="12"/>
      <c r="E7" s="12"/>
      <c r="F7" s="12"/>
      <c r="G7" s="12"/>
      <c r="H7" s="12"/>
      <c r="I7" s="12"/>
      <c r="J7" s="12"/>
      <c r="K7" s="12"/>
      <c r="L7" s="12"/>
    </row>
    <row r="8" spans="1:12" x14ac:dyDescent="0.3">
      <c r="A8" s="12"/>
      <c r="B8" s="12"/>
      <c r="C8" s="12"/>
      <c r="D8" s="12"/>
      <c r="E8" s="12"/>
      <c r="F8" s="12"/>
      <c r="G8" s="12"/>
      <c r="H8" s="12"/>
      <c r="I8" s="12"/>
      <c r="J8" s="12"/>
      <c r="K8" s="12"/>
      <c r="L8" s="12"/>
    </row>
    <row r="9" spans="1:12" x14ac:dyDescent="0.3">
      <c r="A9" s="12"/>
      <c r="B9" s="12"/>
      <c r="C9" s="12"/>
      <c r="D9" s="12"/>
      <c r="E9" s="12"/>
      <c r="F9" s="12"/>
      <c r="G9" s="12"/>
      <c r="H9" s="12"/>
      <c r="I9" s="12"/>
      <c r="J9" s="12"/>
      <c r="K9" s="12"/>
      <c r="L9" s="12"/>
    </row>
    <row r="10" spans="1:12" x14ac:dyDescent="0.3">
      <c r="A10" s="12"/>
      <c r="B10" s="12"/>
      <c r="C10" s="12"/>
      <c r="D10" s="12"/>
      <c r="E10" s="12"/>
      <c r="F10" s="12"/>
      <c r="G10" s="12"/>
      <c r="H10" s="12"/>
      <c r="I10" s="12"/>
      <c r="J10" s="12"/>
      <c r="K10" s="12"/>
      <c r="L10" s="12"/>
    </row>
    <row r="11" spans="1:12" x14ac:dyDescent="0.3">
      <c r="A11" s="12"/>
      <c r="B11" s="12"/>
      <c r="C11" s="12"/>
      <c r="D11" s="12"/>
      <c r="E11" s="12"/>
      <c r="F11" s="12"/>
      <c r="G11" s="12"/>
      <c r="H11" s="12"/>
      <c r="I11" s="12"/>
      <c r="J11" s="12"/>
      <c r="K11" s="12"/>
      <c r="L11" s="12"/>
    </row>
    <row r="12" spans="1:12" x14ac:dyDescent="0.3">
      <c r="A12" s="12"/>
      <c r="B12" s="12"/>
      <c r="C12" s="12"/>
      <c r="D12" s="12"/>
      <c r="E12" s="12"/>
      <c r="F12" s="12"/>
      <c r="G12" s="12"/>
      <c r="H12" s="12"/>
      <c r="I12" s="12"/>
      <c r="J12" s="12"/>
      <c r="K12" s="12"/>
      <c r="L12" s="12"/>
    </row>
    <row r="13" spans="1:12" x14ac:dyDescent="0.3">
      <c r="A13" s="12"/>
      <c r="B13" s="12"/>
      <c r="C13" s="12"/>
      <c r="D13" s="12"/>
      <c r="E13" s="12"/>
      <c r="F13" s="12"/>
      <c r="G13" s="12"/>
      <c r="H13" s="12"/>
      <c r="I13" s="12"/>
      <c r="J13" s="12"/>
      <c r="K13" s="12"/>
      <c r="L13" s="12"/>
    </row>
    <row r="14" spans="1:12" x14ac:dyDescent="0.3">
      <c r="A14" s="12"/>
      <c r="B14" s="12"/>
      <c r="C14" s="12"/>
      <c r="D14" s="12"/>
      <c r="E14" s="12"/>
      <c r="F14" s="12"/>
      <c r="G14" s="12"/>
      <c r="H14" s="12"/>
      <c r="I14" s="12"/>
      <c r="J14" s="12"/>
      <c r="K14" s="12"/>
      <c r="L14" s="12"/>
    </row>
    <row r="15" spans="1:12" x14ac:dyDescent="0.3">
      <c r="A15" s="12"/>
      <c r="B15" s="12"/>
      <c r="C15" s="12"/>
      <c r="D15" s="12"/>
      <c r="E15" s="12"/>
      <c r="F15" s="12"/>
      <c r="G15" s="12"/>
      <c r="H15" s="12"/>
      <c r="I15" s="12"/>
      <c r="J15" s="12"/>
      <c r="K15" s="12"/>
      <c r="L15" s="12"/>
    </row>
    <row r="16" spans="1:12" x14ac:dyDescent="0.3">
      <c r="A16" s="12"/>
      <c r="B16" s="12"/>
      <c r="C16" s="12"/>
      <c r="D16" s="12"/>
      <c r="E16" s="12"/>
      <c r="F16" s="12"/>
      <c r="G16" s="12"/>
      <c r="H16" s="12"/>
      <c r="I16" s="12"/>
      <c r="J16" s="12"/>
      <c r="K16" s="12"/>
      <c r="L16" s="12"/>
    </row>
    <row r="17" spans="1:12" x14ac:dyDescent="0.3">
      <c r="A17" s="12"/>
      <c r="B17" s="12"/>
      <c r="C17" s="12"/>
      <c r="D17" s="12"/>
      <c r="E17" s="12"/>
      <c r="F17" s="12" t="s">
        <v>4</v>
      </c>
      <c r="G17" s="12"/>
      <c r="H17" s="12"/>
      <c r="I17" s="12"/>
      <c r="J17" s="12"/>
      <c r="K17" s="12"/>
      <c r="L17"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892C-4D1A-4068-998D-76A336549FCE}">
  <dimension ref="B4:BB24"/>
  <sheetViews>
    <sheetView workbookViewId="0"/>
  </sheetViews>
  <sheetFormatPr defaultRowHeight="14.4" x14ac:dyDescent="0.3"/>
  <sheetData>
    <row r="4" spans="2:54" x14ac:dyDescent="0.3">
      <c r="B4" s="11"/>
      <c r="C4" s="11"/>
      <c r="D4" s="11"/>
      <c r="E4" s="11"/>
      <c r="F4" s="11"/>
      <c r="G4" s="11"/>
      <c r="H4" s="11"/>
      <c r="I4" s="11"/>
      <c r="J4" s="11"/>
      <c r="K4" s="11"/>
      <c r="L4" s="11"/>
      <c r="M4" s="11"/>
      <c r="N4" s="11"/>
      <c r="O4" s="11"/>
      <c r="P4" s="11"/>
      <c r="S4" s="11"/>
      <c r="T4" s="11"/>
      <c r="U4" s="11"/>
      <c r="V4" s="11"/>
      <c r="W4" s="11"/>
      <c r="X4" s="11"/>
      <c r="Y4" s="11"/>
      <c r="Z4" s="11"/>
      <c r="AA4" s="11"/>
      <c r="AB4" s="11"/>
      <c r="AC4" s="11"/>
      <c r="AD4" s="11"/>
      <c r="AE4" s="11"/>
      <c r="AF4" s="11"/>
      <c r="AG4" s="11"/>
      <c r="AH4" s="11"/>
      <c r="AI4" s="11"/>
      <c r="AL4" s="11"/>
      <c r="AM4" s="11"/>
      <c r="AN4" s="11"/>
      <c r="AO4" s="11"/>
      <c r="AP4" s="11"/>
      <c r="AQ4" s="11"/>
      <c r="AR4" s="11"/>
      <c r="AS4" s="11"/>
      <c r="AT4" s="11"/>
      <c r="AU4" s="11"/>
      <c r="AV4" s="11"/>
      <c r="AW4" s="11"/>
      <c r="AX4" s="11"/>
      <c r="AY4" s="11"/>
      <c r="AZ4" s="11"/>
      <c r="BA4" s="11"/>
      <c r="BB4" s="11"/>
    </row>
    <row r="5" spans="2:54" x14ac:dyDescent="0.3">
      <c r="B5" s="11"/>
      <c r="C5" s="11"/>
      <c r="D5" s="11"/>
      <c r="E5" s="11"/>
      <c r="F5" s="11"/>
      <c r="G5" s="11"/>
      <c r="H5" s="11"/>
      <c r="I5" s="11"/>
      <c r="J5" s="11"/>
      <c r="K5" s="11"/>
      <c r="L5" s="11"/>
      <c r="M5" s="11"/>
      <c r="N5" s="11"/>
      <c r="O5" s="11"/>
      <c r="P5" s="11"/>
      <c r="S5" s="11"/>
      <c r="T5" s="11"/>
      <c r="U5" s="11"/>
      <c r="V5" s="11"/>
      <c r="W5" s="11"/>
      <c r="X5" s="11"/>
      <c r="Y5" s="11"/>
      <c r="Z5" s="11"/>
      <c r="AA5" s="11"/>
      <c r="AB5" s="11"/>
      <c r="AC5" s="11"/>
      <c r="AD5" s="11"/>
      <c r="AE5" s="11"/>
      <c r="AF5" s="11"/>
      <c r="AG5" s="11"/>
      <c r="AH5" s="11"/>
      <c r="AI5" s="11"/>
      <c r="AL5" s="11"/>
      <c r="AM5" s="11"/>
      <c r="AN5" s="11"/>
      <c r="AO5" s="11"/>
      <c r="AP5" s="11"/>
      <c r="AQ5" s="11"/>
      <c r="AR5" s="11"/>
      <c r="AS5" s="11"/>
      <c r="AT5" s="11"/>
      <c r="AU5" s="11"/>
      <c r="AV5" s="11"/>
      <c r="AW5" s="11"/>
      <c r="AX5" s="11"/>
      <c r="AY5" s="11"/>
      <c r="AZ5" s="11"/>
      <c r="BA5" s="11"/>
      <c r="BB5" s="11"/>
    </row>
    <row r="6" spans="2:54" x14ac:dyDescent="0.3">
      <c r="B6" s="11"/>
      <c r="C6" s="11"/>
      <c r="D6" s="11"/>
      <c r="E6" s="11"/>
      <c r="F6" s="11"/>
      <c r="G6" s="11"/>
      <c r="H6" s="11"/>
      <c r="I6" s="11"/>
      <c r="J6" s="11"/>
      <c r="K6" s="11"/>
      <c r="L6" s="11"/>
      <c r="M6" s="11"/>
      <c r="N6" s="11"/>
      <c r="O6" s="11"/>
      <c r="P6" s="11"/>
      <c r="S6" s="11"/>
      <c r="T6" s="11"/>
      <c r="U6" s="11"/>
      <c r="V6" s="11"/>
      <c r="W6" s="11"/>
      <c r="X6" s="11"/>
      <c r="Y6" s="11"/>
      <c r="Z6" s="11"/>
      <c r="AA6" s="11"/>
      <c r="AB6" s="11"/>
      <c r="AC6" s="11"/>
      <c r="AD6" s="11"/>
      <c r="AE6" s="11"/>
      <c r="AF6" s="11"/>
      <c r="AG6" s="11"/>
      <c r="AH6" s="11"/>
      <c r="AI6" s="11"/>
      <c r="AL6" s="11"/>
      <c r="AM6" s="11"/>
      <c r="AN6" s="11"/>
      <c r="AO6" s="11"/>
      <c r="AP6" s="11"/>
      <c r="AQ6" s="11"/>
      <c r="AR6" s="11"/>
      <c r="AS6" s="11"/>
      <c r="AT6" s="11"/>
      <c r="AU6" s="11"/>
      <c r="AV6" s="11"/>
      <c r="AW6" s="11"/>
      <c r="AX6" s="11"/>
      <c r="AY6" s="11"/>
      <c r="AZ6" s="11"/>
      <c r="BA6" s="11"/>
      <c r="BB6" s="11"/>
    </row>
    <row r="7" spans="2:54" x14ac:dyDescent="0.3">
      <c r="B7" s="11"/>
      <c r="C7" s="11"/>
      <c r="D7" s="11"/>
      <c r="E7" s="11"/>
      <c r="F7" s="11"/>
      <c r="G7" s="11"/>
      <c r="H7" s="11"/>
      <c r="I7" s="11"/>
      <c r="J7" s="11"/>
      <c r="K7" s="11"/>
      <c r="L7" s="11"/>
      <c r="M7" s="11"/>
      <c r="N7" s="11"/>
      <c r="O7" s="11"/>
      <c r="P7" s="11"/>
      <c r="S7" s="11"/>
      <c r="T7" s="11"/>
      <c r="U7" s="11"/>
      <c r="V7" s="11"/>
      <c r="W7" s="11"/>
      <c r="X7" s="11"/>
      <c r="Y7" s="11"/>
      <c r="Z7" s="11"/>
      <c r="AA7" s="11"/>
      <c r="AB7" s="11"/>
      <c r="AC7" s="11"/>
      <c r="AD7" s="11"/>
      <c r="AE7" s="11"/>
      <c r="AF7" s="11"/>
      <c r="AG7" s="11"/>
      <c r="AH7" s="11"/>
      <c r="AI7" s="11"/>
      <c r="AL7" s="11"/>
      <c r="AM7" s="11"/>
      <c r="AN7" s="11"/>
      <c r="AO7" s="11"/>
      <c r="AP7" s="11"/>
      <c r="AQ7" s="11"/>
      <c r="AR7" s="11"/>
      <c r="AS7" s="11"/>
      <c r="AT7" s="11"/>
      <c r="AU7" s="11"/>
      <c r="AV7" s="11"/>
      <c r="AW7" s="11"/>
      <c r="AX7" s="11"/>
      <c r="AY7" s="11"/>
      <c r="AZ7" s="11"/>
      <c r="BA7" s="11"/>
      <c r="BB7" s="11"/>
    </row>
    <row r="8" spans="2:54" x14ac:dyDescent="0.3">
      <c r="B8" s="11"/>
      <c r="C8" s="11"/>
      <c r="D8" s="11"/>
      <c r="E8" s="11"/>
      <c r="F8" s="11"/>
      <c r="G8" s="11"/>
      <c r="H8" s="11"/>
      <c r="I8" s="11"/>
      <c r="J8" s="11"/>
      <c r="K8" s="11"/>
      <c r="L8" s="11"/>
      <c r="M8" s="11"/>
      <c r="N8" s="11"/>
      <c r="O8" s="11"/>
      <c r="P8" s="11"/>
      <c r="S8" s="11"/>
      <c r="T8" s="11"/>
      <c r="U8" s="11"/>
      <c r="V8" s="11"/>
      <c r="W8" s="11"/>
      <c r="X8" s="11"/>
      <c r="Y8" s="11"/>
      <c r="Z8" s="11"/>
      <c r="AA8" s="11"/>
      <c r="AB8" s="11"/>
      <c r="AC8" s="11"/>
      <c r="AD8" s="11"/>
      <c r="AE8" s="11"/>
      <c r="AF8" s="11"/>
      <c r="AG8" s="11"/>
      <c r="AH8" s="11"/>
      <c r="AI8" s="11"/>
      <c r="AL8" s="11"/>
      <c r="AM8" s="11"/>
      <c r="AN8" s="11"/>
      <c r="AO8" s="11"/>
      <c r="AP8" s="11"/>
      <c r="AQ8" s="11"/>
      <c r="AR8" s="11"/>
      <c r="AS8" s="11"/>
      <c r="AT8" s="11"/>
      <c r="AU8" s="11"/>
      <c r="AV8" s="11"/>
      <c r="AW8" s="11"/>
      <c r="AX8" s="11"/>
      <c r="AY8" s="11"/>
      <c r="AZ8" s="11"/>
      <c r="BA8" s="11"/>
      <c r="BB8" s="11"/>
    </row>
    <row r="9" spans="2:54" x14ac:dyDescent="0.3">
      <c r="B9" s="11"/>
      <c r="C9" s="11"/>
      <c r="D9" s="11"/>
      <c r="E9" s="11"/>
      <c r="F9" s="11"/>
      <c r="G9" s="11"/>
      <c r="H9" s="11"/>
      <c r="I9" s="11"/>
      <c r="J9" s="11"/>
      <c r="K9" s="11"/>
      <c r="L9" s="11"/>
      <c r="M9" s="11"/>
      <c r="N9" s="11"/>
      <c r="O9" s="11"/>
      <c r="P9" s="11"/>
      <c r="S9" s="11"/>
      <c r="T9" s="11"/>
      <c r="U9" s="11"/>
      <c r="V9" s="11"/>
      <c r="W9" s="11"/>
      <c r="X9" s="11"/>
      <c r="Y9" s="11"/>
      <c r="Z9" s="11"/>
      <c r="AA9" s="11"/>
      <c r="AB9" s="11"/>
      <c r="AC9" s="11"/>
      <c r="AD9" s="11"/>
      <c r="AE9" s="11"/>
      <c r="AF9" s="11"/>
      <c r="AG9" s="11"/>
      <c r="AH9" s="11"/>
      <c r="AI9" s="11"/>
      <c r="AL9" s="11"/>
      <c r="AM9" s="11"/>
      <c r="AN9" s="11"/>
      <c r="AO9" s="11"/>
      <c r="AP9" s="11"/>
      <c r="AQ9" s="11"/>
      <c r="AR9" s="11"/>
      <c r="AS9" s="11"/>
      <c r="AT9" s="11"/>
      <c r="AU9" s="11"/>
      <c r="AV9" s="11"/>
      <c r="AW9" s="11"/>
      <c r="AX9" s="11"/>
      <c r="AY9" s="11"/>
      <c r="AZ9" s="11"/>
      <c r="BA9" s="11"/>
      <c r="BB9" s="11"/>
    </row>
    <row r="10" spans="2:54" x14ac:dyDescent="0.3">
      <c r="B10" s="11"/>
      <c r="C10" s="11"/>
      <c r="D10" s="11"/>
      <c r="E10" s="11"/>
      <c r="F10" s="11"/>
      <c r="G10" s="11"/>
      <c r="H10" s="11"/>
      <c r="I10" s="11"/>
      <c r="J10" s="11"/>
      <c r="K10" s="11"/>
      <c r="L10" s="11"/>
      <c r="M10" s="11"/>
      <c r="N10" s="11"/>
      <c r="O10" s="11"/>
      <c r="P10" s="11"/>
      <c r="S10" s="11"/>
      <c r="T10" s="11"/>
      <c r="U10" s="11"/>
      <c r="V10" s="11"/>
      <c r="W10" s="11"/>
      <c r="X10" s="11"/>
      <c r="Y10" s="11"/>
      <c r="Z10" s="11"/>
      <c r="AA10" s="11"/>
      <c r="AB10" s="11"/>
      <c r="AC10" s="11"/>
      <c r="AD10" s="11"/>
      <c r="AE10" s="11"/>
      <c r="AF10" s="11"/>
      <c r="AG10" s="11"/>
      <c r="AH10" s="11"/>
      <c r="AI10" s="11"/>
      <c r="AL10" s="11"/>
      <c r="AM10" s="11"/>
      <c r="AN10" s="11"/>
      <c r="AO10" s="11"/>
      <c r="AP10" s="11"/>
      <c r="AQ10" s="11"/>
      <c r="AR10" s="11"/>
      <c r="AS10" s="11"/>
      <c r="AT10" s="11"/>
      <c r="AU10" s="11"/>
      <c r="AV10" s="11"/>
      <c r="AW10" s="11"/>
      <c r="AX10" s="11"/>
      <c r="AY10" s="11"/>
      <c r="AZ10" s="11"/>
      <c r="BA10" s="11"/>
      <c r="BB10" s="11"/>
    </row>
    <row r="11" spans="2:54" x14ac:dyDescent="0.3">
      <c r="B11" s="11"/>
      <c r="C11" s="11"/>
      <c r="D11" s="11"/>
      <c r="E11" s="11"/>
      <c r="F11" s="11"/>
      <c r="G11" s="11"/>
      <c r="H11" s="11"/>
      <c r="I11" s="11"/>
      <c r="J11" s="11"/>
      <c r="K11" s="11"/>
      <c r="L11" s="11"/>
      <c r="M11" s="11"/>
      <c r="N11" s="11"/>
      <c r="O11" s="11"/>
      <c r="P11" s="11"/>
      <c r="S11" s="11"/>
      <c r="T11" s="11"/>
      <c r="U11" s="11"/>
      <c r="V11" s="11"/>
      <c r="W11" s="11"/>
      <c r="X11" s="11"/>
      <c r="Y11" s="11"/>
      <c r="Z11" s="11"/>
      <c r="AA11" s="11"/>
      <c r="AB11" s="11"/>
      <c r="AC11" s="11"/>
      <c r="AD11" s="11"/>
      <c r="AE11" s="11"/>
      <c r="AF11" s="11"/>
      <c r="AG11" s="11"/>
      <c r="AH11" s="11"/>
      <c r="AI11" s="11"/>
      <c r="AL11" s="11"/>
      <c r="AM11" s="11"/>
      <c r="AN11" s="11"/>
      <c r="AO11" s="11"/>
      <c r="AP11" s="11"/>
      <c r="AQ11" s="11"/>
      <c r="AR11" s="11"/>
      <c r="AS11" s="11"/>
      <c r="AT11" s="11"/>
      <c r="AU11" s="11"/>
      <c r="AV11" s="11"/>
      <c r="AW11" s="11"/>
      <c r="AX11" s="11"/>
      <c r="AY11" s="11"/>
      <c r="AZ11" s="11"/>
      <c r="BA11" s="11"/>
      <c r="BB11" s="11"/>
    </row>
    <row r="12" spans="2:54" x14ac:dyDescent="0.3">
      <c r="B12" s="11"/>
      <c r="C12" s="11"/>
      <c r="D12" s="11"/>
      <c r="E12" s="11"/>
      <c r="F12" s="11"/>
      <c r="G12" s="11"/>
      <c r="H12" s="11"/>
      <c r="I12" s="11"/>
      <c r="J12" s="11"/>
      <c r="K12" s="11"/>
      <c r="L12" s="11"/>
      <c r="M12" s="11"/>
      <c r="N12" s="11"/>
      <c r="O12" s="11"/>
      <c r="P12" s="11"/>
      <c r="S12" s="11"/>
      <c r="T12" s="11"/>
      <c r="U12" s="11"/>
      <c r="V12" s="11"/>
      <c r="W12" s="11"/>
      <c r="X12" s="11"/>
      <c r="Y12" s="11"/>
      <c r="Z12" s="11"/>
      <c r="AA12" s="11"/>
      <c r="AB12" s="11"/>
      <c r="AC12" s="11"/>
      <c r="AD12" s="11"/>
      <c r="AE12" s="11"/>
      <c r="AF12" s="11"/>
      <c r="AG12" s="11"/>
      <c r="AH12" s="11"/>
      <c r="AI12" s="11"/>
      <c r="AL12" s="11"/>
      <c r="AM12" s="11"/>
      <c r="AN12" s="11"/>
      <c r="AO12" s="11"/>
      <c r="AP12" s="11"/>
      <c r="AQ12" s="11"/>
      <c r="AR12" s="11"/>
      <c r="AS12" s="11"/>
      <c r="AT12" s="11"/>
      <c r="AU12" s="11"/>
      <c r="AV12" s="11"/>
      <c r="AW12" s="11"/>
      <c r="AX12" s="11"/>
      <c r="AY12" s="11"/>
      <c r="AZ12" s="11"/>
      <c r="BA12" s="11"/>
      <c r="BB12" s="11"/>
    </row>
    <row r="13" spans="2:54" x14ac:dyDescent="0.3">
      <c r="B13" s="11"/>
      <c r="C13" s="11"/>
      <c r="D13" s="11"/>
      <c r="E13" s="11"/>
      <c r="F13" s="11"/>
      <c r="G13" s="11"/>
      <c r="H13" s="11"/>
      <c r="I13" s="11"/>
      <c r="J13" s="11"/>
      <c r="K13" s="11"/>
      <c r="L13" s="11"/>
      <c r="M13" s="11"/>
      <c r="N13" s="11"/>
      <c r="O13" s="11"/>
      <c r="P13" s="11"/>
      <c r="S13" s="11"/>
      <c r="T13" s="11"/>
      <c r="U13" s="11"/>
      <c r="V13" s="11"/>
      <c r="W13" s="11"/>
      <c r="X13" s="11"/>
      <c r="Y13" s="11"/>
      <c r="Z13" s="11"/>
      <c r="AA13" s="11"/>
      <c r="AB13" s="11"/>
      <c r="AC13" s="11"/>
      <c r="AD13" s="11"/>
      <c r="AE13" s="11"/>
      <c r="AF13" s="11"/>
      <c r="AG13" s="11"/>
      <c r="AH13" s="11"/>
      <c r="AI13" s="11"/>
      <c r="AL13" s="11"/>
      <c r="AM13" s="11"/>
      <c r="AN13" s="11"/>
      <c r="AO13" s="11"/>
      <c r="AP13" s="11"/>
      <c r="AQ13" s="11"/>
      <c r="AR13" s="11"/>
      <c r="AS13" s="11"/>
      <c r="AT13" s="11"/>
      <c r="AU13" s="11"/>
      <c r="AV13" s="11"/>
      <c r="AW13" s="11"/>
      <c r="AX13" s="11"/>
      <c r="AY13" s="11"/>
      <c r="AZ13" s="11"/>
      <c r="BA13" s="11"/>
      <c r="BB13" s="11"/>
    </row>
    <row r="14" spans="2:54" x14ac:dyDescent="0.3">
      <c r="B14" s="11"/>
      <c r="C14" s="11"/>
      <c r="D14" s="11"/>
      <c r="E14" s="11"/>
      <c r="F14" s="11"/>
      <c r="G14" s="11"/>
      <c r="H14" s="11"/>
      <c r="I14" s="11"/>
      <c r="J14" s="11"/>
      <c r="K14" s="11"/>
      <c r="L14" s="11"/>
      <c r="M14" s="11"/>
      <c r="N14" s="11"/>
      <c r="O14" s="11"/>
      <c r="P14" s="11"/>
      <c r="S14" s="11"/>
      <c r="T14" s="11"/>
      <c r="U14" s="11"/>
      <c r="V14" s="11"/>
      <c r="W14" s="11"/>
      <c r="X14" s="11"/>
      <c r="Y14" s="11"/>
      <c r="Z14" s="11"/>
      <c r="AA14" s="11"/>
      <c r="AB14" s="11"/>
      <c r="AC14" s="11"/>
      <c r="AD14" s="11"/>
      <c r="AE14" s="11"/>
      <c r="AF14" s="11"/>
      <c r="AG14" s="11"/>
      <c r="AH14" s="11"/>
      <c r="AI14" s="11"/>
      <c r="AL14" s="11"/>
      <c r="AM14" s="11"/>
      <c r="AN14" s="11"/>
      <c r="AO14" s="11"/>
      <c r="AP14" s="11"/>
      <c r="AQ14" s="11"/>
      <c r="AR14" s="11"/>
      <c r="AS14" s="11"/>
      <c r="AT14" s="11"/>
      <c r="AU14" s="11"/>
      <c r="AV14" s="11"/>
      <c r="AW14" s="11"/>
      <c r="AX14" s="11"/>
      <c r="AY14" s="11"/>
      <c r="AZ14" s="11"/>
      <c r="BA14" s="11"/>
      <c r="BB14" s="11"/>
    </row>
    <row r="15" spans="2:54" x14ac:dyDescent="0.3">
      <c r="B15" s="11"/>
      <c r="C15" s="11"/>
      <c r="D15" s="11"/>
      <c r="E15" s="11"/>
      <c r="F15" s="11"/>
      <c r="G15" s="11"/>
      <c r="H15" s="11"/>
      <c r="I15" s="11"/>
      <c r="J15" s="11"/>
      <c r="K15" s="11"/>
      <c r="L15" s="11"/>
      <c r="M15" s="11"/>
      <c r="N15" s="11"/>
      <c r="O15" s="11"/>
      <c r="P15" s="11"/>
      <c r="S15" s="11"/>
      <c r="T15" s="11"/>
      <c r="U15" s="11"/>
      <c r="V15" s="11"/>
      <c r="W15" s="11"/>
      <c r="X15" s="11"/>
      <c r="Y15" s="11"/>
      <c r="Z15" s="11"/>
      <c r="AA15" s="11"/>
      <c r="AB15" s="11"/>
      <c r="AC15" s="11"/>
      <c r="AD15" s="11"/>
      <c r="AE15" s="11"/>
      <c r="AF15" s="11"/>
      <c r="AG15" s="11"/>
      <c r="AH15" s="11"/>
      <c r="AI15" s="11"/>
      <c r="AL15" s="11"/>
      <c r="AM15" s="11"/>
      <c r="AN15" s="11"/>
      <c r="AO15" s="11"/>
      <c r="AP15" s="11"/>
      <c r="AQ15" s="11"/>
      <c r="AR15" s="11"/>
      <c r="AS15" s="11"/>
      <c r="AT15" s="11"/>
      <c r="AU15" s="11"/>
      <c r="AV15" s="11"/>
      <c r="AW15" s="11"/>
      <c r="AX15" s="11"/>
      <c r="AY15" s="11"/>
      <c r="AZ15" s="11"/>
      <c r="BA15" s="11"/>
      <c r="BB15" s="11"/>
    </row>
    <row r="16" spans="2:54" x14ac:dyDescent="0.3">
      <c r="B16" s="11"/>
      <c r="C16" s="11"/>
      <c r="D16" s="11"/>
      <c r="E16" s="11"/>
      <c r="F16" s="11"/>
      <c r="G16" s="11"/>
      <c r="H16" s="11"/>
      <c r="I16" s="11"/>
      <c r="J16" s="11"/>
      <c r="K16" s="11"/>
      <c r="L16" s="11"/>
      <c r="M16" s="11"/>
      <c r="N16" s="11"/>
      <c r="O16" s="11"/>
      <c r="P16" s="11"/>
      <c r="S16" s="11"/>
      <c r="T16" s="11"/>
      <c r="U16" s="11"/>
      <c r="V16" s="11"/>
      <c r="W16" s="11"/>
      <c r="X16" s="11"/>
      <c r="Y16" s="11"/>
      <c r="Z16" s="11"/>
      <c r="AA16" s="11"/>
      <c r="AB16" s="11"/>
      <c r="AC16" s="11"/>
      <c r="AD16" s="11"/>
      <c r="AE16" s="11"/>
      <c r="AF16" s="11"/>
      <c r="AG16" s="11"/>
      <c r="AH16" s="11"/>
      <c r="AI16" s="11"/>
      <c r="AL16" s="11"/>
      <c r="AM16" s="11"/>
      <c r="AN16" s="11"/>
      <c r="AO16" s="11"/>
      <c r="AP16" s="11"/>
      <c r="AQ16" s="11"/>
      <c r="AR16" s="11"/>
      <c r="AS16" s="11"/>
      <c r="AT16" s="11"/>
      <c r="AU16" s="11"/>
      <c r="AV16" s="11"/>
      <c r="AW16" s="11"/>
      <c r="AX16" s="11"/>
      <c r="AY16" s="11"/>
      <c r="AZ16" s="11"/>
      <c r="BA16" s="11"/>
      <c r="BB16" s="11"/>
    </row>
    <row r="17" spans="2:54" x14ac:dyDescent="0.3">
      <c r="B17" s="11"/>
      <c r="C17" s="11"/>
      <c r="D17" s="11"/>
      <c r="E17" s="11"/>
      <c r="F17" s="11"/>
      <c r="G17" s="11"/>
      <c r="H17" s="11"/>
      <c r="I17" s="11"/>
      <c r="J17" s="11"/>
      <c r="K17" s="11"/>
      <c r="L17" s="11"/>
      <c r="M17" s="11"/>
      <c r="N17" s="11"/>
      <c r="O17" s="11"/>
      <c r="P17" s="11"/>
      <c r="S17" s="11"/>
      <c r="T17" s="11"/>
      <c r="U17" s="11"/>
      <c r="V17" s="11"/>
      <c r="W17" s="11"/>
      <c r="X17" s="11"/>
      <c r="Y17" s="11"/>
      <c r="Z17" s="11"/>
      <c r="AA17" s="11"/>
      <c r="AB17" s="11"/>
      <c r="AC17" s="11"/>
      <c r="AD17" s="11"/>
      <c r="AE17" s="11"/>
      <c r="AF17" s="11"/>
      <c r="AG17" s="11"/>
      <c r="AH17" s="11"/>
      <c r="AI17" s="11"/>
      <c r="AL17" s="11"/>
      <c r="AM17" s="11"/>
      <c r="AN17" s="11"/>
      <c r="AO17" s="11"/>
      <c r="AP17" s="11"/>
      <c r="AQ17" s="11"/>
      <c r="AR17" s="11"/>
      <c r="AS17" s="11"/>
      <c r="AT17" s="11"/>
      <c r="AU17" s="11"/>
      <c r="AV17" s="11"/>
      <c r="AW17" s="11"/>
      <c r="AX17" s="11"/>
      <c r="AY17" s="11"/>
      <c r="AZ17" s="11"/>
      <c r="BA17" s="11"/>
      <c r="BB17" s="11"/>
    </row>
    <row r="18" spans="2:54" x14ac:dyDescent="0.3">
      <c r="B18" s="11"/>
      <c r="C18" s="11"/>
      <c r="D18" s="11"/>
      <c r="E18" s="11"/>
      <c r="F18" s="11"/>
      <c r="G18" s="11"/>
      <c r="H18" s="11"/>
      <c r="I18" s="11"/>
      <c r="J18" s="11"/>
      <c r="K18" s="11"/>
      <c r="L18" s="11"/>
      <c r="M18" s="11"/>
      <c r="N18" s="11"/>
      <c r="O18" s="11"/>
      <c r="P18" s="11"/>
      <c r="S18" s="11"/>
      <c r="T18" s="11"/>
      <c r="U18" s="11"/>
      <c r="V18" s="11"/>
      <c r="W18" s="11"/>
      <c r="X18" s="11"/>
      <c r="Y18" s="11"/>
      <c r="Z18" s="11"/>
      <c r="AA18" s="11"/>
      <c r="AB18" s="11"/>
      <c r="AC18" s="11"/>
      <c r="AD18" s="11"/>
      <c r="AE18" s="11"/>
      <c r="AF18" s="11"/>
      <c r="AG18" s="11"/>
      <c r="AH18" s="11"/>
      <c r="AI18" s="11"/>
      <c r="AL18" s="11"/>
      <c r="AM18" s="11"/>
      <c r="AN18" s="11"/>
      <c r="AO18" s="11"/>
      <c r="AP18" s="11"/>
      <c r="AQ18" s="11"/>
      <c r="AR18" s="11"/>
      <c r="AS18" s="11"/>
      <c r="AT18" s="11"/>
      <c r="AU18" s="11"/>
      <c r="AV18" s="11"/>
      <c r="AW18" s="11"/>
      <c r="AX18" s="11"/>
      <c r="AY18" s="11"/>
      <c r="AZ18" s="11"/>
      <c r="BA18" s="11"/>
      <c r="BB18" s="11"/>
    </row>
    <row r="19" spans="2:54" x14ac:dyDescent="0.3">
      <c r="B19" s="11"/>
      <c r="C19" s="11"/>
      <c r="D19" s="11"/>
      <c r="E19" s="11"/>
      <c r="F19" s="11"/>
      <c r="G19" s="11"/>
      <c r="H19" s="11"/>
      <c r="I19" s="11"/>
      <c r="J19" s="11"/>
      <c r="K19" s="11"/>
      <c r="L19" s="11"/>
      <c r="M19" s="11"/>
      <c r="N19" s="11"/>
      <c r="O19" s="11"/>
      <c r="P19" s="11"/>
      <c r="S19" s="11"/>
      <c r="T19" s="11"/>
      <c r="U19" s="11"/>
      <c r="V19" s="11"/>
      <c r="W19" s="11"/>
      <c r="X19" s="11"/>
      <c r="Y19" s="11"/>
      <c r="Z19" s="11"/>
      <c r="AA19" s="11"/>
      <c r="AB19" s="11"/>
      <c r="AC19" s="11"/>
      <c r="AD19" s="11"/>
      <c r="AE19" s="11"/>
      <c r="AF19" s="11"/>
      <c r="AG19" s="11"/>
      <c r="AH19" s="11"/>
      <c r="AI19" s="11"/>
      <c r="AL19" s="11"/>
      <c r="AM19" s="11"/>
      <c r="AN19" s="11"/>
      <c r="AO19" s="11"/>
      <c r="AP19" s="11"/>
      <c r="AQ19" s="11"/>
      <c r="AR19" s="11"/>
      <c r="AS19" s="11"/>
      <c r="AT19" s="11"/>
      <c r="AU19" s="11"/>
      <c r="AV19" s="11"/>
      <c r="AW19" s="11"/>
      <c r="AX19" s="11"/>
      <c r="AY19" s="11"/>
      <c r="AZ19" s="11"/>
      <c r="BA19" s="11"/>
      <c r="BB19" s="11"/>
    </row>
    <row r="20" spans="2:54" x14ac:dyDescent="0.3">
      <c r="B20" s="11"/>
      <c r="C20" s="11"/>
      <c r="D20" s="11"/>
      <c r="E20" s="11"/>
      <c r="F20" s="11"/>
      <c r="G20" s="11"/>
      <c r="H20" s="11"/>
      <c r="I20" s="11"/>
      <c r="J20" s="11"/>
      <c r="K20" s="11"/>
      <c r="L20" s="11"/>
      <c r="M20" s="11"/>
      <c r="N20" s="11"/>
      <c r="O20" s="11"/>
      <c r="P20" s="11"/>
      <c r="S20" s="11"/>
      <c r="T20" s="11"/>
      <c r="U20" s="11"/>
      <c r="V20" s="11"/>
      <c r="W20" s="11"/>
      <c r="X20" s="11"/>
      <c r="Y20" s="11"/>
      <c r="Z20" s="11"/>
      <c r="AA20" s="11"/>
      <c r="AB20" s="11"/>
      <c r="AC20" s="11"/>
      <c r="AD20" s="11"/>
      <c r="AE20" s="11"/>
      <c r="AF20" s="11"/>
      <c r="AG20" s="11"/>
      <c r="AH20" s="11"/>
      <c r="AI20" s="11"/>
      <c r="AL20" s="11"/>
      <c r="AM20" s="11"/>
      <c r="AN20" s="11"/>
      <c r="AO20" s="11"/>
      <c r="AP20" s="11"/>
      <c r="AQ20" s="11"/>
      <c r="AR20" s="11"/>
      <c r="AS20" s="11"/>
      <c r="AT20" s="11"/>
      <c r="AU20" s="11"/>
      <c r="AV20" s="11"/>
      <c r="AW20" s="11"/>
      <c r="AX20" s="11"/>
      <c r="AY20" s="11"/>
      <c r="AZ20" s="11"/>
      <c r="BA20" s="11"/>
      <c r="BB20" s="11"/>
    </row>
    <row r="21" spans="2:54" x14ac:dyDescent="0.3">
      <c r="B21" s="11"/>
      <c r="C21" s="11"/>
      <c r="D21" s="11"/>
      <c r="E21" s="11"/>
      <c r="F21" s="11"/>
      <c r="G21" s="11"/>
      <c r="H21" s="11"/>
      <c r="I21" s="11"/>
      <c r="J21" s="11"/>
      <c r="K21" s="11"/>
      <c r="L21" s="11"/>
      <c r="M21" s="11"/>
      <c r="N21" s="11"/>
      <c r="O21" s="11"/>
      <c r="P21" s="11"/>
      <c r="S21" s="11"/>
      <c r="T21" s="11"/>
      <c r="U21" s="11"/>
      <c r="V21" s="11"/>
      <c r="W21" s="11"/>
      <c r="X21" s="11"/>
      <c r="Y21" s="11"/>
      <c r="Z21" s="11"/>
      <c r="AA21" s="11"/>
      <c r="AB21" s="11"/>
      <c r="AC21" s="11"/>
      <c r="AD21" s="11"/>
      <c r="AE21" s="11"/>
      <c r="AF21" s="11"/>
      <c r="AG21" s="11"/>
      <c r="AH21" s="11"/>
      <c r="AI21" s="11"/>
      <c r="AL21" s="11"/>
      <c r="AM21" s="11"/>
      <c r="AN21" s="11"/>
      <c r="AO21" s="11"/>
      <c r="AP21" s="11"/>
      <c r="AQ21" s="11"/>
      <c r="AR21" s="11"/>
      <c r="AS21" s="11"/>
      <c r="AT21" s="11"/>
      <c r="AU21" s="11"/>
      <c r="AV21" s="11"/>
      <c r="AW21" s="11"/>
      <c r="AX21" s="11"/>
      <c r="AY21" s="11"/>
      <c r="AZ21" s="11"/>
      <c r="BA21" s="11"/>
      <c r="BB21" s="11"/>
    </row>
    <row r="22" spans="2:54" x14ac:dyDescent="0.3">
      <c r="B22" s="11"/>
      <c r="C22" s="11"/>
      <c r="D22" s="11"/>
      <c r="E22" s="11"/>
      <c r="F22" s="11"/>
      <c r="G22" s="11"/>
      <c r="H22" s="11"/>
      <c r="I22" s="11"/>
      <c r="J22" s="11"/>
      <c r="K22" s="11"/>
      <c r="L22" s="11"/>
      <c r="M22" s="11"/>
      <c r="N22" s="11"/>
      <c r="O22" s="11"/>
      <c r="P22" s="11"/>
      <c r="S22" s="11"/>
      <c r="T22" s="11"/>
      <c r="U22" s="11"/>
      <c r="V22" s="11"/>
      <c r="W22" s="11"/>
      <c r="X22" s="11"/>
      <c r="Y22" s="11"/>
      <c r="Z22" s="11"/>
      <c r="AA22" s="11"/>
      <c r="AB22" s="11"/>
      <c r="AC22" s="11"/>
      <c r="AD22" s="11"/>
      <c r="AE22" s="11"/>
      <c r="AF22" s="11"/>
      <c r="AG22" s="11"/>
      <c r="AH22" s="11"/>
      <c r="AI22" s="11"/>
      <c r="AL22" s="11"/>
      <c r="AM22" s="11"/>
      <c r="AN22" s="11"/>
      <c r="AO22" s="11"/>
      <c r="AP22" s="11"/>
      <c r="AQ22" s="11"/>
      <c r="AR22" s="11"/>
      <c r="AS22" s="11"/>
      <c r="AT22" s="11"/>
      <c r="AU22" s="11"/>
      <c r="AV22" s="11"/>
      <c r="AW22" s="11"/>
      <c r="AX22" s="11"/>
      <c r="AY22" s="11"/>
      <c r="AZ22" s="11"/>
      <c r="BA22" s="11"/>
      <c r="BB22" s="11"/>
    </row>
    <row r="23" spans="2:54" x14ac:dyDescent="0.3">
      <c r="B23" s="11"/>
      <c r="C23" s="11"/>
      <c r="D23" s="11"/>
      <c r="E23" s="11"/>
      <c r="F23" s="11"/>
      <c r="G23" s="11"/>
      <c r="H23" s="11"/>
      <c r="I23" s="11"/>
      <c r="J23" s="11"/>
      <c r="K23" s="11"/>
      <c r="L23" s="11"/>
      <c r="M23" s="11"/>
      <c r="N23" s="11"/>
      <c r="O23" s="11"/>
      <c r="P23" s="11"/>
      <c r="S23" s="11"/>
      <c r="T23" s="11"/>
      <c r="U23" s="11"/>
      <c r="V23" s="11"/>
      <c r="W23" s="11"/>
      <c r="X23" s="11"/>
      <c r="Y23" s="11"/>
      <c r="Z23" s="11"/>
      <c r="AA23" s="11"/>
      <c r="AB23" s="11"/>
      <c r="AC23" s="11"/>
      <c r="AD23" s="11"/>
      <c r="AE23" s="11"/>
      <c r="AF23" s="11"/>
      <c r="AG23" s="11"/>
      <c r="AH23" s="11"/>
      <c r="AI23" s="11"/>
      <c r="AL23" s="11"/>
      <c r="AM23" s="11"/>
      <c r="AN23" s="11"/>
      <c r="AO23" s="11"/>
      <c r="AP23" s="11"/>
      <c r="AQ23" s="11"/>
      <c r="AR23" s="11"/>
      <c r="AS23" s="11"/>
      <c r="AT23" s="11"/>
      <c r="AU23" s="11"/>
      <c r="AV23" s="11"/>
      <c r="AW23" s="11"/>
      <c r="AX23" s="11"/>
      <c r="AY23" s="11"/>
      <c r="AZ23" s="11"/>
      <c r="BA23" s="11"/>
      <c r="BB23" s="11"/>
    </row>
    <row r="24" spans="2:54" x14ac:dyDescent="0.3">
      <c r="B24" s="11"/>
      <c r="C24" s="11"/>
      <c r="D24" s="11"/>
      <c r="E24" s="11"/>
      <c r="F24" s="11"/>
      <c r="G24" s="11"/>
      <c r="H24" s="11"/>
      <c r="I24" s="11"/>
      <c r="J24" s="11"/>
      <c r="K24" s="11"/>
      <c r="L24" s="11"/>
      <c r="M24" s="11"/>
      <c r="N24" s="11"/>
      <c r="O24" s="11"/>
      <c r="P24" s="11"/>
      <c r="S24" s="11"/>
      <c r="T24" s="11"/>
      <c r="U24" s="11"/>
      <c r="V24" s="11"/>
      <c r="W24" s="11"/>
      <c r="X24" s="11"/>
      <c r="Y24" s="11"/>
      <c r="Z24" s="11"/>
      <c r="AA24" s="11"/>
      <c r="AB24" s="11"/>
      <c r="AC24" s="11"/>
      <c r="AD24" s="11"/>
      <c r="AE24" s="11"/>
      <c r="AF24" s="11"/>
      <c r="AG24" s="11"/>
      <c r="AH24" s="11"/>
      <c r="AI24" s="11"/>
      <c r="AL24" s="11"/>
      <c r="AM24" s="11"/>
      <c r="AN24" s="11"/>
      <c r="AO24" s="11"/>
      <c r="AP24" s="11"/>
      <c r="AQ24" s="11"/>
      <c r="AR24" s="11"/>
      <c r="AS24" s="11"/>
      <c r="AT24" s="11"/>
      <c r="AU24" s="11"/>
      <c r="AV24" s="11"/>
      <c r="AW24" s="11"/>
      <c r="AX24" s="11"/>
      <c r="AY24" s="11"/>
      <c r="AZ24" s="11"/>
      <c r="BA24" s="11"/>
      <c r="BB24"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24AB072-58AD-47F7-89A7-2D51DBE12DE0}">
  <ds:schemaRefs/>
</ds:datastoreItem>
</file>

<file path=customXml/itemProps2.xml><?xml version="1.0" encoding="utf-8"?>
<ds:datastoreItem xmlns:ds="http://schemas.openxmlformats.org/officeDocument/2006/customXml" ds:itemID="{92D85DD6-8B85-4E3C-B2ED-C3C233131FEE}">
  <ds:schemaRefs/>
</ds:datastoreItem>
</file>

<file path=customXml/itemProps3.xml><?xml version="1.0" encoding="utf-8"?>
<ds:datastoreItem xmlns:ds="http://schemas.openxmlformats.org/officeDocument/2006/customXml" ds:itemID="{9924A806-B75F-4501-8BCE-046593A4B656}">
  <ds:schemaRefs/>
</ds:datastoreItem>
</file>

<file path=customXml/itemProps4.xml><?xml version="1.0" encoding="utf-8"?>
<ds:datastoreItem xmlns:ds="http://schemas.openxmlformats.org/officeDocument/2006/customXml" ds:itemID="{51A37906-0015-4F53-9AF0-58DC027494B1}">
  <ds:schemaRefs/>
</ds:datastoreItem>
</file>

<file path=customXml/itemProps5.xml><?xml version="1.0" encoding="utf-8"?>
<ds:datastoreItem xmlns:ds="http://schemas.openxmlformats.org/officeDocument/2006/customXml" ds:itemID="{E5727AEE-FADA-459B-B8DD-32E35974AF73}">
  <ds:schemaRefs/>
</ds:datastoreItem>
</file>

<file path=customXml/itemProps6.xml><?xml version="1.0" encoding="utf-8"?>
<ds:datastoreItem xmlns:ds="http://schemas.openxmlformats.org/officeDocument/2006/customXml" ds:itemID="{1DF93A50-FB42-4E18-A50A-EFB024F1BFEA}">
  <ds:schemaRefs/>
</ds:datastoreItem>
</file>

<file path=customXml/itemProps7.xml><?xml version="1.0" encoding="utf-8"?>
<ds:datastoreItem xmlns:ds="http://schemas.openxmlformats.org/officeDocument/2006/customXml" ds:itemID="{380182F8-67E7-452B-B9E5-B00FEA2D2CAA}">
  <ds:schemaRefs/>
</ds:datastoreItem>
</file>

<file path=customXml/itemProps8.xml><?xml version="1.0" encoding="utf-8"?>
<ds:datastoreItem xmlns:ds="http://schemas.openxmlformats.org/officeDocument/2006/customXml" ds:itemID="{10F26E8E-5C98-4658-9D18-B6C549AC1AFF}">
  <ds:schemaRefs/>
</ds:datastoreItem>
</file>

<file path=customXml/itemProps9.xml><?xml version="1.0" encoding="utf-8"?>
<ds:datastoreItem xmlns:ds="http://schemas.openxmlformats.org/officeDocument/2006/customXml" ds:itemID="{100C293E-925B-4BB7-9B3D-B52C7985D3B1}">
  <ds:schemaRefs/>
</ds:datastoreItem>
</file>

<file path=customXml/itemProps10.xml><?xml version="1.0" encoding="utf-8"?>
<ds:datastoreItem xmlns:ds="http://schemas.openxmlformats.org/officeDocument/2006/customXml" ds:itemID="{8298AC2C-467B-435F-872F-A67986E7A9D6}">
  <ds:schemaRefs/>
</ds:datastoreItem>
</file>

<file path=customXml/itemProps11.xml><?xml version="1.0" encoding="utf-8"?>
<ds:datastoreItem xmlns:ds="http://schemas.openxmlformats.org/officeDocument/2006/customXml" ds:itemID="{3033A847-61C5-41CD-94C7-91C23FCB6437}">
  <ds:schemaRefs/>
</ds:datastoreItem>
</file>

<file path=customXml/itemProps12.xml><?xml version="1.0" encoding="utf-8"?>
<ds:datastoreItem xmlns:ds="http://schemas.openxmlformats.org/officeDocument/2006/customXml" ds:itemID="{04821DF9-5782-4221-8C98-79D44F544735}">
  <ds:schemaRefs/>
</ds:datastoreItem>
</file>

<file path=customXml/itemProps13.xml><?xml version="1.0" encoding="utf-8"?>
<ds:datastoreItem xmlns:ds="http://schemas.openxmlformats.org/officeDocument/2006/customXml" ds:itemID="{FF68F902-77AC-4A51-98CA-18BC641DF06C}">
  <ds:schemaRefs/>
</ds:datastoreItem>
</file>

<file path=customXml/itemProps14.xml><?xml version="1.0" encoding="utf-8"?>
<ds:datastoreItem xmlns:ds="http://schemas.openxmlformats.org/officeDocument/2006/customXml" ds:itemID="{1AF55467-A3CA-4F07-BAC0-2F583CE1D8CD}">
  <ds:schemaRefs/>
</ds:datastoreItem>
</file>

<file path=customXml/itemProps15.xml><?xml version="1.0" encoding="utf-8"?>
<ds:datastoreItem xmlns:ds="http://schemas.openxmlformats.org/officeDocument/2006/customXml" ds:itemID="{F053FC7C-4CEC-4387-B734-6957F29DA6A1}">
  <ds:schemaRefs>
    <ds:schemaRef ds:uri="http://schemas.microsoft.com/DataMashup"/>
  </ds:schemaRefs>
</ds:datastoreItem>
</file>

<file path=customXml/itemProps16.xml><?xml version="1.0" encoding="utf-8"?>
<ds:datastoreItem xmlns:ds="http://schemas.openxmlformats.org/officeDocument/2006/customXml" ds:itemID="{DAFF1769-29F4-4638-95BA-CE959EB0FB4A}">
  <ds:schemaRefs/>
</ds:datastoreItem>
</file>

<file path=customXml/itemProps17.xml><?xml version="1.0" encoding="utf-8"?>
<ds:datastoreItem xmlns:ds="http://schemas.openxmlformats.org/officeDocument/2006/customXml" ds:itemID="{7D9D5E4F-75C3-4901-9922-C0B322F63275}">
  <ds:schemaRefs/>
</ds:datastoreItem>
</file>

<file path=customXml/itemProps18.xml><?xml version="1.0" encoding="utf-8"?>
<ds:datastoreItem xmlns:ds="http://schemas.openxmlformats.org/officeDocument/2006/customXml" ds:itemID="{52C594E6-774C-4D12-B622-7AF503E3E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Detailed Explanation Of 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Patil</dc:creator>
  <cp:lastModifiedBy>Priyanka Patil</cp:lastModifiedBy>
  <dcterms:created xsi:type="dcterms:W3CDTF">2026-01-02T10:52:10Z</dcterms:created>
  <dcterms:modified xsi:type="dcterms:W3CDTF">2026-02-06T10:40:50Z</dcterms:modified>
</cp:coreProperties>
</file>